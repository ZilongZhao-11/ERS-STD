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zl/Desktop/LBBD-TRB/"/>
    </mc:Choice>
  </mc:AlternateContent>
  <xr:revisionPtr revIDLastSave="0" documentId="8_{A58D14A6-0765-B045-B7FB-6D068E9A15FE}" xr6:coauthVersionLast="47" xr6:coauthVersionMax="47" xr10:uidLastSave="{00000000-0000-0000-0000-000000000000}"/>
  <bookViews>
    <workbookView xWindow="-38400" yWindow="0" windowWidth="38400" windowHeight="21600" xr2:uid="{58C86F6F-329C-5642-880A-17446B23EA73}"/>
  </bookViews>
  <sheets>
    <sheet name="wkTRP_Muritiba2021" sheetId="11" r:id="rId1"/>
    <sheet name="PMSDTT_Guo2015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0" l="1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</calcChain>
</file>

<file path=xl/sharedStrings.xml><?xml version="1.0" encoding="utf-8"?>
<sst xmlns="http://schemas.openxmlformats.org/spreadsheetml/2006/main" count="82" uniqueCount="53">
  <si>
    <t>Instance</t>
    <phoneticPr fontId="1" type="noConversion"/>
  </si>
  <si>
    <r>
      <t>|</t>
    </r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|</t>
    </r>
    <phoneticPr fontId="1" type="noConversion"/>
  </si>
  <si>
    <r>
      <t>|</t>
    </r>
    <r>
      <rPr>
        <i/>
        <sz val="12"/>
        <color theme="1"/>
        <rFont val="Times New Roman"/>
        <family val="1"/>
      </rPr>
      <t>K</t>
    </r>
    <r>
      <rPr>
        <sz val="12"/>
        <color theme="1"/>
        <rFont val="Times New Roman"/>
        <family val="1"/>
      </rPr>
      <t>|</t>
    </r>
    <phoneticPr fontId="1" type="noConversion"/>
  </si>
  <si>
    <t>UB</t>
    <phoneticPr fontId="1" type="noConversion"/>
  </si>
  <si>
    <t>LB</t>
    <phoneticPr fontId="1" type="noConversion"/>
  </si>
  <si>
    <t>Gap(%)</t>
    <phoneticPr fontId="1" type="noConversion"/>
  </si>
  <si>
    <t>Time(s)</t>
    <phoneticPr fontId="1" type="noConversion"/>
  </si>
  <si>
    <t>OC</t>
    <phoneticPr fontId="1" type="noConversion"/>
  </si>
  <si>
    <t>AC</t>
    <phoneticPr fontId="1" type="noConversion"/>
  </si>
  <si>
    <t>G_82_1</t>
    <phoneticPr fontId="1" type="noConversion"/>
  </si>
  <si>
    <t>G_82_2</t>
  </si>
  <si>
    <t>G_82_3</t>
  </si>
  <si>
    <t>G_83_1</t>
    <phoneticPr fontId="1" type="noConversion"/>
  </si>
  <si>
    <t>G_83_2</t>
  </si>
  <si>
    <t>G_83_3</t>
  </si>
  <si>
    <t>G_84_1</t>
    <phoneticPr fontId="1" type="noConversion"/>
  </si>
  <si>
    <t>G_84_2</t>
  </si>
  <si>
    <t>G_84_3</t>
  </si>
  <si>
    <t>G_102_1</t>
    <phoneticPr fontId="1" type="noConversion"/>
  </si>
  <si>
    <t>G_102_2</t>
  </si>
  <si>
    <t>G_102_3</t>
  </si>
  <si>
    <t>G_103_1</t>
    <phoneticPr fontId="1" type="noConversion"/>
  </si>
  <si>
    <t>G_103_2</t>
  </si>
  <si>
    <t>G_103_3</t>
  </si>
  <si>
    <t>G_104_1</t>
    <phoneticPr fontId="1" type="noConversion"/>
  </si>
  <si>
    <t>G_104_2</t>
  </si>
  <si>
    <t>G_104_3</t>
  </si>
  <si>
    <t>G_122_1</t>
    <phoneticPr fontId="1" type="noConversion"/>
  </si>
  <si>
    <t>G_122_2</t>
  </si>
  <si>
    <t>G_122_3</t>
  </si>
  <si>
    <t>G_123_1</t>
    <phoneticPr fontId="1" type="noConversion"/>
  </si>
  <si>
    <t>G_123_2</t>
  </si>
  <si>
    <t>G_123_3</t>
  </si>
  <si>
    <t>G_124_1</t>
    <phoneticPr fontId="1" type="noConversion"/>
  </si>
  <si>
    <t>G_124_2</t>
  </si>
  <si>
    <t>G_124_3</t>
  </si>
  <si>
    <t>Guo et al. (2015)</t>
    <phoneticPr fontId="1" type="noConversion"/>
  </si>
  <si>
    <t>LBBD-SP-DP</t>
    <phoneticPr fontId="1" type="noConversion"/>
  </si>
  <si>
    <t>Name</t>
    <phoneticPr fontId="1" type="noConversion"/>
  </si>
  <si>
    <t>Avg</t>
    <phoneticPr fontId="1" type="noConversion"/>
  </si>
  <si>
    <t>Muritiba et al. (2021)</t>
    <phoneticPr fontId="1" type="noConversion"/>
  </si>
  <si>
    <t>CF-PMSDST</t>
    <phoneticPr fontId="1" type="noConversion"/>
  </si>
  <si>
    <t>CF-wkTRP</t>
    <phoneticPr fontId="1" type="noConversion"/>
  </si>
  <si>
    <t>RIO_01_08</t>
  </si>
  <si>
    <t>RIO_07_08</t>
  </si>
  <si>
    <t>RIO_08_08</t>
  </si>
  <si>
    <t>RIO_10_08</t>
  </si>
  <si>
    <t>RIO_02_10</t>
  </si>
  <si>
    <t>RIO_03_10</t>
  </si>
  <si>
    <t>RIO_09_10</t>
  </si>
  <si>
    <t>RIO_10_10</t>
  </si>
  <si>
    <t>RIO_11_10</t>
  </si>
  <si>
    <t>Obj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</si>
</sst>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069F-1A49-C34B-A6D1-9BB198C8E2D7}">
  <dimension ref="A1:N12"/>
  <sheetViews>
    <sheetView tabSelected="1" zoomScale="150" workbookViewId="0">
      <selection activeCell="Q13" sqref="Q13"/>
    </sheetView>
  </sheetViews>
  <sheetFormatPr baseColWidth="10" defaultRowHeight="16"/>
  <sheetData>
    <row r="1" spans="1:14">
      <c r="A1" s="10" t="s">
        <v>0</v>
      </c>
      <c r="B1" s="10"/>
      <c r="C1" s="10"/>
      <c r="D1" s="10" t="s">
        <v>40</v>
      </c>
      <c r="E1" s="10"/>
      <c r="F1" s="10" t="s">
        <v>42</v>
      </c>
      <c r="G1" s="10"/>
      <c r="H1" s="10"/>
      <c r="I1" s="11" t="s">
        <v>37</v>
      </c>
      <c r="J1" s="11"/>
      <c r="K1" s="11"/>
      <c r="L1" s="11"/>
      <c r="M1" s="11"/>
      <c r="N1" s="11"/>
    </row>
    <row r="2" spans="1:14">
      <c r="A2" s="10"/>
      <c r="B2" s="10"/>
      <c r="C2" s="10"/>
      <c r="D2" s="10"/>
      <c r="E2" s="10"/>
      <c r="F2" s="10"/>
      <c r="G2" s="10"/>
      <c r="H2" s="10"/>
      <c r="I2" s="10" t="s">
        <v>7</v>
      </c>
      <c r="J2" s="10"/>
      <c r="K2" s="10"/>
      <c r="L2" s="10" t="s">
        <v>8</v>
      </c>
      <c r="M2" s="10"/>
      <c r="N2" s="10"/>
    </row>
    <row r="3" spans="1:14">
      <c r="A3" s="16" t="s">
        <v>38</v>
      </c>
      <c r="B3" s="17" t="s">
        <v>1</v>
      </c>
      <c r="C3" s="17" t="s">
        <v>2</v>
      </c>
      <c r="D3" s="16" t="s">
        <v>52</v>
      </c>
      <c r="E3" s="16" t="s">
        <v>5</v>
      </c>
      <c r="F3" s="16" t="s">
        <v>3</v>
      </c>
      <c r="G3" s="16" t="s">
        <v>4</v>
      </c>
      <c r="H3" s="16" t="s">
        <v>5</v>
      </c>
      <c r="I3" s="16" t="s">
        <v>3</v>
      </c>
      <c r="J3" s="16" t="s">
        <v>4</v>
      </c>
      <c r="K3" s="16" t="s">
        <v>5</v>
      </c>
      <c r="L3" s="16" t="s">
        <v>3</v>
      </c>
      <c r="M3" s="16" t="s">
        <v>4</v>
      </c>
      <c r="N3" s="16" t="s">
        <v>5</v>
      </c>
    </row>
    <row r="4" spans="1:14">
      <c r="A4" s="18" t="s">
        <v>43</v>
      </c>
      <c r="B4" s="18">
        <v>12</v>
      </c>
      <c r="C4" s="18">
        <v>2</v>
      </c>
      <c r="D4" s="19">
        <v>971.85</v>
      </c>
      <c r="E4" s="20">
        <v>0</v>
      </c>
      <c r="F4" s="19">
        <v>971.85</v>
      </c>
      <c r="G4" s="19">
        <v>971.85</v>
      </c>
      <c r="H4" s="19">
        <v>0</v>
      </c>
      <c r="I4" s="20">
        <v>971.85</v>
      </c>
      <c r="J4" s="20">
        <v>971.85</v>
      </c>
      <c r="K4" s="20">
        <v>0</v>
      </c>
      <c r="L4" s="20">
        <v>971.85</v>
      </c>
      <c r="M4" s="20">
        <v>971.85</v>
      </c>
      <c r="N4" s="20">
        <v>0</v>
      </c>
    </row>
    <row r="5" spans="1:14">
      <c r="A5" s="18" t="s">
        <v>44</v>
      </c>
      <c r="B5" s="18">
        <v>14</v>
      </c>
      <c r="C5" s="18">
        <v>2</v>
      </c>
      <c r="D5" s="19">
        <v>1082.43</v>
      </c>
      <c r="E5" s="20">
        <v>0</v>
      </c>
      <c r="F5" s="19">
        <v>1082.43</v>
      </c>
      <c r="G5" s="19">
        <v>875.46</v>
      </c>
      <c r="H5" s="19">
        <v>19.12</v>
      </c>
      <c r="I5" s="20">
        <v>1082.43</v>
      </c>
      <c r="J5" s="20">
        <v>1082.43</v>
      </c>
      <c r="K5" s="20">
        <v>0</v>
      </c>
      <c r="L5" s="20">
        <v>1082.43</v>
      </c>
      <c r="M5" s="20">
        <v>1082.43</v>
      </c>
      <c r="N5" s="20">
        <v>0</v>
      </c>
    </row>
    <row r="6" spans="1:14">
      <c r="A6" s="18" t="s">
        <v>45</v>
      </c>
      <c r="B6" s="18">
        <v>18</v>
      </c>
      <c r="C6" s="18">
        <v>2</v>
      </c>
      <c r="D6" s="19">
        <v>1641.18</v>
      </c>
      <c r="E6" s="20">
        <v>0</v>
      </c>
      <c r="F6" s="19">
        <v>1641.18</v>
      </c>
      <c r="G6" s="19">
        <v>1096.55</v>
      </c>
      <c r="H6" s="19">
        <v>33.19</v>
      </c>
      <c r="I6" s="19">
        <v>1641.18</v>
      </c>
      <c r="J6" s="19">
        <v>1562.64</v>
      </c>
      <c r="K6" s="19">
        <v>4.79</v>
      </c>
      <c r="L6" s="19">
        <v>1662.64</v>
      </c>
      <c r="M6" s="19">
        <v>1468.9</v>
      </c>
      <c r="N6" s="19">
        <v>11.65</v>
      </c>
    </row>
    <row r="7" spans="1:14">
      <c r="A7" s="18" t="s">
        <v>46</v>
      </c>
      <c r="B7" s="18">
        <v>17</v>
      </c>
      <c r="C7" s="18">
        <v>2</v>
      </c>
      <c r="D7" s="19">
        <v>1433.61</v>
      </c>
      <c r="E7" s="20">
        <v>0</v>
      </c>
      <c r="F7" s="19">
        <v>1433.61</v>
      </c>
      <c r="G7" s="19">
        <v>1025.47</v>
      </c>
      <c r="H7" s="19">
        <v>28.47</v>
      </c>
      <c r="I7" s="19">
        <v>1433.61</v>
      </c>
      <c r="J7" s="19">
        <v>1433.61</v>
      </c>
      <c r="K7" s="19">
        <v>0</v>
      </c>
      <c r="L7" s="19">
        <v>1433.61</v>
      </c>
      <c r="M7" s="19">
        <v>1433.61</v>
      </c>
      <c r="N7" s="19">
        <v>0</v>
      </c>
    </row>
    <row r="8" spans="1:14">
      <c r="A8" s="18" t="s">
        <v>47</v>
      </c>
      <c r="B8" s="18">
        <v>13</v>
      </c>
      <c r="C8" s="18">
        <v>1</v>
      </c>
      <c r="D8" s="19">
        <v>1843.73</v>
      </c>
      <c r="E8" s="20">
        <v>0</v>
      </c>
      <c r="F8" s="19">
        <v>1843.73</v>
      </c>
      <c r="G8" s="19">
        <v>1135.2</v>
      </c>
      <c r="H8" s="19">
        <v>38.43</v>
      </c>
      <c r="I8" s="20">
        <v>1843.73</v>
      </c>
      <c r="J8" s="20">
        <v>1843.73</v>
      </c>
      <c r="K8" s="20">
        <v>0</v>
      </c>
      <c r="L8" s="20">
        <v>1843.73</v>
      </c>
      <c r="M8" s="20">
        <v>1843.73</v>
      </c>
      <c r="N8" s="20">
        <v>0</v>
      </c>
    </row>
    <row r="9" spans="1:14">
      <c r="A9" s="18" t="s">
        <v>48</v>
      </c>
      <c r="B9" s="18">
        <v>16</v>
      </c>
      <c r="C9" s="18">
        <v>2</v>
      </c>
      <c r="D9" s="19">
        <v>1529.24</v>
      </c>
      <c r="E9" s="20">
        <v>0</v>
      </c>
      <c r="F9" s="19">
        <v>1529.24</v>
      </c>
      <c r="G9" s="19">
        <v>1221.68</v>
      </c>
      <c r="H9" s="19">
        <v>20.11</v>
      </c>
      <c r="I9" s="20">
        <v>1529.24</v>
      </c>
      <c r="J9" s="20">
        <v>1529.24</v>
      </c>
      <c r="K9" s="20">
        <v>0</v>
      </c>
      <c r="L9" s="20">
        <v>1529.24</v>
      </c>
      <c r="M9" s="20">
        <v>1529.24</v>
      </c>
      <c r="N9" s="20">
        <v>0</v>
      </c>
    </row>
    <row r="10" spans="1:14">
      <c r="A10" s="18" t="s">
        <v>49</v>
      </c>
      <c r="B10" s="18">
        <v>16</v>
      </c>
      <c r="C10" s="18">
        <v>2</v>
      </c>
      <c r="D10" s="19">
        <v>1356.93</v>
      </c>
      <c r="E10" s="20">
        <v>0</v>
      </c>
      <c r="F10" s="19">
        <v>1356.93</v>
      </c>
      <c r="G10" s="19">
        <v>1085.8</v>
      </c>
      <c r="H10" s="19">
        <v>19.98</v>
      </c>
      <c r="I10" s="19">
        <v>1356.93</v>
      </c>
      <c r="J10" s="19">
        <v>1356.93</v>
      </c>
      <c r="K10" s="19">
        <v>0</v>
      </c>
      <c r="L10" s="19">
        <v>1356.93</v>
      </c>
      <c r="M10" s="19">
        <v>1356.93</v>
      </c>
      <c r="N10" s="19">
        <v>0</v>
      </c>
    </row>
    <row r="11" spans="1:14">
      <c r="A11" s="18" t="s">
        <v>50</v>
      </c>
      <c r="B11" s="18">
        <v>11</v>
      </c>
      <c r="C11" s="18">
        <v>1</v>
      </c>
      <c r="D11" s="19">
        <v>1190.96</v>
      </c>
      <c r="E11" s="20">
        <v>0</v>
      </c>
      <c r="F11" s="19">
        <v>1190.96</v>
      </c>
      <c r="G11" s="19">
        <v>1190.96</v>
      </c>
      <c r="H11" s="19">
        <v>0</v>
      </c>
      <c r="I11" s="20">
        <v>1190.96</v>
      </c>
      <c r="J11" s="20">
        <v>1190.96</v>
      </c>
      <c r="K11" s="20">
        <v>0</v>
      </c>
      <c r="L11" s="20">
        <v>1190.96</v>
      </c>
      <c r="M11" s="20">
        <v>1190.96</v>
      </c>
      <c r="N11" s="20">
        <v>0</v>
      </c>
    </row>
    <row r="12" spans="1:14">
      <c r="A12" s="18" t="s">
        <v>51</v>
      </c>
      <c r="B12" s="18">
        <v>18</v>
      </c>
      <c r="C12" s="18">
        <v>2</v>
      </c>
      <c r="D12" s="19">
        <v>1672.57</v>
      </c>
      <c r="E12" s="20">
        <v>0</v>
      </c>
      <c r="F12" s="19">
        <v>1672.57</v>
      </c>
      <c r="G12" s="19">
        <v>1056.4000000000001</v>
      </c>
      <c r="H12" s="19">
        <v>36.840000000000003</v>
      </c>
      <c r="I12" s="19">
        <v>1672.57</v>
      </c>
      <c r="J12" s="19">
        <v>1515.24</v>
      </c>
      <c r="K12" s="19">
        <v>9.41</v>
      </c>
      <c r="L12" s="19">
        <v>1672.57</v>
      </c>
      <c r="M12" s="19">
        <v>1435.29</v>
      </c>
      <c r="N12" s="19">
        <v>14.19</v>
      </c>
    </row>
  </sheetData>
  <mergeCells count="6">
    <mergeCell ref="A1:C2"/>
    <mergeCell ref="D1:E2"/>
    <mergeCell ref="F1:H2"/>
    <mergeCell ref="I1:N1"/>
    <mergeCell ref="I2:K2"/>
    <mergeCell ref="L2:N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7C318-4B28-7148-AF5B-0DBEE49B7E1F}">
  <dimension ref="A1:S40"/>
  <sheetViews>
    <sheetView zoomScale="114" zoomScaleNormal="270" workbookViewId="0">
      <selection activeCell="H1" sqref="H1:K2"/>
    </sheetView>
  </sheetViews>
  <sheetFormatPr baseColWidth="10" defaultRowHeight="16"/>
  <cols>
    <col min="1" max="1" width="12" style="7" customWidth="1"/>
    <col min="4" max="16384" width="10.83203125" style="7"/>
  </cols>
  <sheetData>
    <row r="1" spans="1:19">
      <c r="A1" s="10" t="s">
        <v>0</v>
      </c>
      <c r="B1" s="10"/>
      <c r="C1" s="10"/>
      <c r="D1" s="10" t="s">
        <v>36</v>
      </c>
      <c r="E1" s="10"/>
      <c r="F1" s="10"/>
      <c r="G1" s="10"/>
      <c r="H1" s="10" t="s">
        <v>41</v>
      </c>
      <c r="I1" s="10"/>
      <c r="J1" s="10"/>
      <c r="K1" s="10"/>
      <c r="L1" s="11" t="s">
        <v>37</v>
      </c>
      <c r="M1" s="11"/>
      <c r="N1" s="11"/>
      <c r="O1" s="11"/>
      <c r="P1" s="11"/>
      <c r="Q1" s="11"/>
      <c r="R1" s="11"/>
      <c r="S1" s="11"/>
    </row>
    <row r="2" spans="1:19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 t="s">
        <v>7</v>
      </c>
      <c r="M2" s="10"/>
      <c r="N2" s="10"/>
      <c r="O2" s="10"/>
      <c r="P2" s="10" t="s">
        <v>8</v>
      </c>
      <c r="Q2" s="10"/>
      <c r="R2" s="10"/>
      <c r="S2" s="10"/>
    </row>
    <row r="3" spans="1:19">
      <c r="A3" s="5" t="s">
        <v>38</v>
      </c>
      <c r="B3" s="6" t="s">
        <v>1</v>
      </c>
      <c r="C3" s="6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3</v>
      </c>
      <c r="I3" s="5" t="s">
        <v>4</v>
      </c>
      <c r="J3" s="5" t="s">
        <v>5</v>
      </c>
      <c r="K3" s="5" t="s">
        <v>6</v>
      </c>
      <c r="L3" s="5" t="s">
        <v>3</v>
      </c>
      <c r="M3" s="5" t="s">
        <v>4</v>
      </c>
      <c r="N3" s="5" t="s">
        <v>5</v>
      </c>
      <c r="O3" s="5" t="s">
        <v>6</v>
      </c>
      <c r="P3" s="5" t="s">
        <v>3</v>
      </c>
      <c r="Q3" s="5" t="s">
        <v>4</v>
      </c>
      <c r="R3" s="5" t="s">
        <v>5</v>
      </c>
      <c r="S3" s="5" t="s">
        <v>6</v>
      </c>
    </row>
    <row r="4" spans="1:19">
      <c r="A4" s="2" t="s">
        <v>9</v>
      </c>
      <c r="B4" s="1">
        <v>8</v>
      </c>
      <c r="C4" s="1">
        <v>2</v>
      </c>
      <c r="D4" s="2">
        <v>204</v>
      </c>
      <c r="E4" s="2">
        <v>204</v>
      </c>
      <c r="F4" s="2">
        <v>0</v>
      </c>
      <c r="G4" s="2">
        <v>1.58</v>
      </c>
      <c r="H4" s="2">
        <v>204</v>
      </c>
      <c r="I4" s="2">
        <v>204</v>
      </c>
      <c r="J4" s="2">
        <v>0</v>
      </c>
      <c r="K4" s="2">
        <v>1.1000000000000001</v>
      </c>
      <c r="L4" s="2">
        <v>204</v>
      </c>
      <c r="M4" s="2">
        <v>204</v>
      </c>
      <c r="N4" s="2">
        <v>0</v>
      </c>
      <c r="O4" s="2">
        <v>0.05</v>
      </c>
      <c r="P4" s="2">
        <v>204</v>
      </c>
      <c r="Q4" s="2">
        <v>204</v>
      </c>
      <c r="R4" s="2">
        <v>0</v>
      </c>
      <c r="S4" s="2">
        <v>0.05</v>
      </c>
    </row>
    <row r="5" spans="1:19">
      <c r="A5" s="2" t="s">
        <v>10</v>
      </c>
      <c r="B5" s="1">
        <v>8</v>
      </c>
      <c r="C5" s="1">
        <v>2</v>
      </c>
      <c r="D5" s="2">
        <v>556</v>
      </c>
      <c r="E5" s="2">
        <v>556</v>
      </c>
      <c r="F5" s="2">
        <v>0</v>
      </c>
      <c r="G5" s="2">
        <v>43.68</v>
      </c>
      <c r="H5" s="2">
        <v>556</v>
      </c>
      <c r="I5" s="2">
        <v>556</v>
      </c>
      <c r="J5" s="2">
        <v>0</v>
      </c>
      <c r="K5" s="2">
        <v>2.23</v>
      </c>
      <c r="L5" s="2">
        <v>556</v>
      </c>
      <c r="M5" s="2">
        <v>556</v>
      </c>
      <c r="N5" s="2">
        <v>0</v>
      </c>
      <c r="O5" s="2">
        <v>0.06</v>
      </c>
      <c r="P5" s="2">
        <v>556</v>
      </c>
      <c r="Q5" s="2">
        <v>556</v>
      </c>
      <c r="R5" s="2">
        <v>0</v>
      </c>
      <c r="S5" s="2">
        <v>0.06</v>
      </c>
    </row>
    <row r="6" spans="1:19">
      <c r="A6" s="2" t="s">
        <v>11</v>
      </c>
      <c r="B6" s="1">
        <v>8</v>
      </c>
      <c r="C6" s="1">
        <v>2</v>
      </c>
      <c r="D6" s="2">
        <v>107</v>
      </c>
      <c r="E6" s="2">
        <v>107</v>
      </c>
      <c r="F6" s="2">
        <v>0</v>
      </c>
      <c r="G6" s="2">
        <v>0.81</v>
      </c>
      <c r="H6" s="2">
        <v>107</v>
      </c>
      <c r="I6" s="2">
        <v>107</v>
      </c>
      <c r="J6" s="2">
        <v>0</v>
      </c>
      <c r="K6" s="2">
        <v>0.3</v>
      </c>
      <c r="L6" s="2">
        <v>107</v>
      </c>
      <c r="M6" s="2">
        <v>107</v>
      </c>
      <c r="N6" s="2">
        <v>0</v>
      </c>
      <c r="O6" s="2">
        <v>0.05</v>
      </c>
      <c r="P6" s="2">
        <v>107</v>
      </c>
      <c r="Q6" s="2">
        <v>107</v>
      </c>
      <c r="R6" s="2">
        <v>0</v>
      </c>
      <c r="S6" s="2">
        <v>0.05</v>
      </c>
    </row>
    <row r="7" spans="1:19">
      <c r="A7" s="8"/>
      <c r="B7" s="9"/>
      <c r="C7" s="9"/>
      <c r="D7" s="8">
        <f t="shared" ref="D7:S7" si="0">AVERAGE(D4:D6)</f>
        <v>289</v>
      </c>
      <c r="E7" s="8">
        <f t="shared" si="0"/>
        <v>289</v>
      </c>
      <c r="F7" s="8">
        <f t="shared" si="0"/>
        <v>0</v>
      </c>
      <c r="G7" s="8">
        <f t="shared" si="0"/>
        <v>15.356666666666667</v>
      </c>
      <c r="H7" s="8">
        <f t="shared" si="0"/>
        <v>289</v>
      </c>
      <c r="I7" s="8">
        <f t="shared" si="0"/>
        <v>289</v>
      </c>
      <c r="J7" s="8">
        <f t="shared" si="0"/>
        <v>0</v>
      </c>
      <c r="K7" s="8">
        <f t="shared" si="0"/>
        <v>1.21</v>
      </c>
      <c r="L7" s="8">
        <f t="shared" si="0"/>
        <v>289</v>
      </c>
      <c r="M7" s="8">
        <f t="shared" si="0"/>
        <v>289</v>
      </c>
      <c r="N7" s="8">
        <f t="shared" si="0"/>
        <v>0</v>
      </c>
      <c r="O7" s="8">
        <f t="shared" si="0"/>
        <v>5.3333333333333337E-2</v>
      </c>
      <c r="P7" s="8">
        <f t="shared" si="0"/>
        <v>289</v>
      </c>
      <c r="Q7" s="8">
        <f t="shared" si="0"/>
        <v>289</v>
      </c>
      <c r="R7" s="8">
        <f t="shared" si="0"/>
        <v>0</v>
      </c>
      <c r="S7" s="8">
        <f t="shared" si="0"/>
        <v>5.3333333333333337E-2</v>
      </c>
    </row>
    <row r="8" spans="1:19">
      <c r="A8" s="2" t="s">
        <v>12</v>
      </c>
      <c r="B8" s="1">
        <v>8</v>
      </c>
      <c r="C8" s="1">
        <v>3</v>
      </c>
      <c r="D8" s="2">
        <v>135</v>
      </c>
      <c r="E8" s="2">
        <v>135</v>
      </c>
      <c r="F8" s="2">
        <v>0</v>
      </c>
      <c r="G8" s="2">
        <v>0.11</v>
      </c>
      <c r="H8" s="2">
        <v>135</v>
      </c>
      <c r="I8" s="2">
        <v>135</v>
      </c>
      <c r="J8" s="2">
        <v>0</v>
      </c>
      <c r="K8" s="2">
        <v>0.09</v>
      </c>
      <c r="L8" s="2">
        <v>135</v>
      </c>
      <c r="M8" s="2">
        <v>135</v>
      </c>
      <c r="N8" s="2">
        <v>0</v>
      </c>
      <c r="O8" s="2">
        <v>0.05</v>
      </c>
      <c r="P8" s="2">
        <v>135</v>
      </c>
      <c r="Q8" s="2">
        <v>135</v>
      </c>
      <c r="R8" s="2">
        <v>0</v>
      </c>
      <c r="S8" s="2">
        <v>0.05</v>
      </c>
    </row>
    <row r="9" spans="1:19">
      <c r="A9" s="2" t="s">
        <v>13</v>
      </c>
      <c r="B9" s="1">
        <v>8</v>
      </c>
      <c r="C9" s="1">
        <v>3</v>
      </c>
      <c r="D9" s="2">
        <v>147</v>
      </c>
      <c r="E9" s="2">
        <v>147</v>
      </c>
      <c r="F9" s="2">
        <v>0</v>
      </c>
      <c r="G9" s="2">
        <v>0.25</v>
      </c>
      <c r="H9" s="2">
        <v>147</v>
      </c>
      <c r="I9" s="2">
        <v>147</v>
      </c>
      <c r="J9" s="2">
        <v>0</v>
      </c>
      <c r="K9" s="2">
        <v>0.09</v>
      </c>
      <c r="L9" s="2">
        <v>147</v>
      </c>
      <c r="M9" s="2">
        <v>147</v>
      </c>
      <c r="N9" s="2">
        <v>0</v>
      </c>
      <c r="O9" s="2">
        <v>0.06</v>
      </c>
      <c r="P9" s="2">
        <v>147</v>
      </c>
      <c r="Q9" s="2">
        <v>147</v>
      </c>
      <c r="R9" s="2">
        <v>0</v>
      </c>
      <c r="S9" s="2">
        <v>0.06</v>
      </c>
    </row>
    <row r="10" spans="1:19">
      <c r="A10" s="2" t="s">
        <v>14</v>
      </c>
      <c r="B10" s="1">
        <v>8</v>
      </c>
      <c r="C10" s="1">
        <v>3</v>
      </c>
      <c r="D10" s="2">
        <v>169</v>
      </c>
      <c r="E10" s="2">
        <v>169</v>
      </c>
      <c r="F10" s="2">
        <v>0</v>
      </c>
      <c r="G10" s="2">
        <v>0.28999999999999998</v>
      </c>
      <c r="H10" s="2">
        <v>169</v>
      </c>
      <c r="I10" s="2">
        <v>169</v>
      </c>
      <c r="J10" s="2">
        <v>0</v>
      </c>
      <c r="K10" s="2">
        <v>0.11</v>
      </c>
      <c r="L10" s="2">
        <v>169</v>
      </c>
      <c r="M10" s="2">
        <v>169</v>
      </c>
      <c r="N10" s="2">
        <v>0</v>
      </c>
      <c r="O10" s="2">
        <v>0.06</v>
      </c>
      <c r="P10" s="2">
        <v>169</v>
      </c>
      <c r="Q10" s="2">
        <v>169</v>
      </c>
      <c r="R10" s="2">
        <v>0</v>
      </c>
      <c r="S10" s="2">
        <v>0.06</v>
      </c>
    </row>
    <row r="11" spans="1:19">
      <c r="A11" s="8"/>
      <c r="B11" s="9"/>
      <c r="C11" s="9"/>
      <c r="D11" s="8">
        <f t="shared" ref="D11:S11" si="1">AVERAGE(D8:D10)</f>
        <v>150.33333333333334</v>
      </c>
      <c r="E11" s="8">
        <f t="shared" si="1"/>
        <v>150.33333333333334</v>
      </c>
      <c r="F11" s="8">
        <f t="shared" si="1"/>
        <v>0</v>
      </c>
      <c r="G11" s="8">
        <f t="shared" si="1"/>
        <v>0.21666666666666665</v>
      </c>
      <c r="H11" s="8">
        <f t="shared" si="1"/>
        <v>150.33333333333334</v>
      </c>
      <c r="I11" s="8">
        <f t="shared" si="1"/>
        <v>150.33333333333334</v>
      </c>
      <c r="J11" s="8">
        <f t="shared" si="1"/>
        <v>0</v>
      </c>
      <c r="K11" s="8">
        <f t="shared" si="1"/>
        <v>9.6666666666666665E-2</v>
      </c>
      <c r="L11" s="8">
        <f t="shared" si="1"/>
        <v>150.33333333333334</v>
      </c>
      <c r="M11" s="8">
        <f t="shared" si="1"/>
        <v>150.33333333333334</v>
      </c>
      <c r="N11" s="8">
        <f t="shared" si="1"/>
        <v>0</v>
      </c>
      <c r="O11" s="8">
        <f t="shared" si="1"/>
        <v>5.6666666666666664E-2</v>
      </c>
      <c r="P11" s="8">
        <f t="shared" si="1"/>
        <v>150.33333333333334</v>
      </c>
      <c r="Q11" s="8">
        <f t="shared" si="1"/>
        <v>150.33333333333334</v>
      </c>
      <c r="R11" s="8">
        <f t="shared" si="1"/>
        <v>0</v>
      </c>
      <c r="S11" s="8">
        <f t="shared" si="1"/>
        <v>5.6666666666666664E-2</v>
      </c>
    </row>
    <row r="12" spans="1:19">
      <c r="A12" s="2" t="s">
        <v>15</v>
      </c>
      <c r="B12" s="1">
        <v>8</v>
      </c>
      <c r="C12" s="1">
        <v>4</v>
      </c>
      <c r="D12" s="2">
        <v>200</v>
      </c>
      <c r="E12" s="2">
        <v>200</v>
      </c>
      <c r="F12" s="2">
        <v>0</v>
      </c>
      <c r="G12" s="2">
        <v>0.28999999999999998</v>
      </c>
      <c r="H12" s="2">
        <v>200</v>
      </c>
      <c r="I12" s="2">
        <v>200</v>
      </c>
      <c r="J12" s="2">
        <v>0</v>
      </c>
      <c r="K12" s="2">
        <v>7.0000000000000007E-2</v>
      </c>
      <c r="L12" s="2">
        <v>200</v>
      </c>
      <c r="M12" s="2">
        <v>200</v>
      </c>
      <c r="N12" s="2">
        <v>0</v>
      </c>
      <c r="O12" s="2">
        <v>0.05</v>
      </c>
      <c r="P12" s="2">
        <v>200</v>
      </c>
      <c r="Q12" s="2">
        <v>200</v>
      </c>
      <c r="R12" s="2">
        <v>0</v>
      </c>
      <c r="S12" s="2">
        <v>0.05</v>
      </c>
    </row>
    <row r="13" spans="1:19">
      <c r="A13" s="2" t="s">
        <v>16</v>
      </c>
      <c r="B13" s="1">
        <v>8</v>
      </c>
      <c r="C13" s="1">
        <v>4</v>
      </c>
      <c r="D13" s="2">
        <v>232</v>
      </c>
      <c r="E13" s="2">
        <v>232</v>
      </c>
      <c r="F13" s="2">
        <v>0</v>
      </c>
      <c r="G13" s="2">
        <v>0.15</v>
      </c>
      <c r="H13" s="2">
        <v>232</v>
      </c>
      <c r="I13" s="2">
        <v>232</v>
      </c>
      <c r="J13" s="2">
        <v>0</v>
      </c>
      <c r="K13" s="2">
        <v>0.06</v>
      </c>
      <c r="L13" s="2">
        <v>232</v>
      </c>
      <c r="M13" s="2">
        <v>232</v>
      </c>
      <c r="N13" s="2">
        <v>0</v>
      </c>
      <c r="O13" s="2">
        <v>7.0000000000000007E-2</v>
      </c>
      <c r="P13" s="2">
        <v>232</v>
      </c>
      <c r="Q13" s="2">
        <v>232</v>
      </c>
      <c r="R13" s="2">
        <v>0</v>
      </c>
      <c r="S13" s="2">
        <v>7.0000000000000007E-2</v>
      </c>
    </row>
    <row r="14" spans="1:19">
      <c r="A14" s="2" t="s">
        <v>17</v>
      </c>
      <c r="B14" s="1">
        <v>8</v>
      </c>
      <c r="C14" s="1">
        <v>4</v>
      </c>
      <c r="D14" s="2">
        <v>261</v>
      </c>
      <c r="E14" s="2">
        <v>261</v>
      </c>
      <c r="F14" s="2">
        <v>0</v>
      </c>
      <c r="G14" s="2">
        <v>0.3</v>
      </c>
      <c r="H14" s="2">
        <v>261</v>
      </c>
      <c r="I14" s="2">
        <v>261</v>
      </c>
      <c r="J14" s="2">
        <v>0</v>
      </c>
      <c r="K14" s="2">
        <v>0.09</v>
      </c>
      <c r="L14" s="2">
        <v>261</v>
      </c>
      <c r="M14" s="2">
        <v>261</v>
      </c>
      <c r="N14" s="2">
        <v>0</v>
      </c>
      <c r="O14" s="2">
        <v>0.05</v>
      </c>
      <c r="P14" s="2">
        <v>261</v>
      </c>
      <c r="Q14" s="2">
        <v>261</v>
      </c>
      <c r="R14" s="2">
        <v>0</v>
      </c>
      <c r="S14" s="2">
        <v>0.03</v>
      </c>
    </row>
    <row r="15" spans="1:19">
      <c r="A15" s="8"/>
      <c r="B15" s="9"/>
      <c r="C15" s="9"/>
      <c r="D15" s="8">
        <f t="shared" ref="D15:S15" si="2">AVERAGE(D12:D14)</f>
        <v>231</v>
      </c>
      <c r="E15" s="8">
        <f t="shared" si="2"/>
        <v>231</v>
      </c>
      <c r="F15" s="8">
        <f t="shared" si="2"/>
        <v>0</v>
      </c>
      <c r="G15" s="8">
        <f t="shared" si="2"/>
        <v>0.24666666666666667</v>
      </c>
      <c r="H15" s="8">
        <f t="shared" si="2"/>
        <v>231</v>
      </c>
      <c r="I15" s="8">
        <f t="shared" si="2"/>
        <v>231</v>
      </c>
      <c r="J15" s="8">
        <f t="shared" si="2"/>
        <v>0</v>
      </c>
      <c r="K15" s="8">
        <f t="shared" si="2"/>
        <v>7.3333333333333334E-2</v>
      </c>
      <c r="L15" s="8">
        <f t="shared" si="2"/>
        <v>231</v>
      </c>
      <c r="M15" s="8">
        <f t="shared" si="2"/>
        <v>231</v>
      </c>
      <c r="N15" s="8">
        <f t="shared" si="2"/>
        <v>0</v>
      </c>
      <c r="O15" s="8">
        <f t="shared" si="2"/>
        <v>5.6666666666666671E-2</v>
      </c>
      <c r="P15" s="8">
        <f t="shared" si="2"/>
        <v>231</v>
      </c>
      <c r="Q15" s="8">
        <f t="shared" si="2"/>
        <v>231</v>
      </c>
      <c r="R15" s="8">
        <f t="shared" si="2"/>
        <v>0</v>
      </c>
      <c r="S15" s="8">
        <f t="shared" si="2"/>
        <v>5.000000000000001E-2</v>
      </c>
    </row>
    <row r="16" spans="1:19">
      <c r="A16" s="4" t="s">
        <v>18</v>
      </c>
      <c r="B16" s="3">
        <v>10</v>
      </c>
      <c r="C16" s="3">
        <v>2</v>
      </c>
      <c r="D16" s="4">
        <v>393</v>
      </c>
      <c r="E16" s="4">
        <v>393</v>
      </c>
      <c r="F16" s="4">
        <v>0</v>
      </c>
      <c r="G16" s="4">
        <v>183.62</v>
      </c>
      <c r="H16" s="4">
        <v>393</v>
      </c>
      <c r="I16" s="4">
        <v>393</v>
      </c>
      <c r="J16" s="4">
        <v>0</v>
      </c>
      <c r="K16" s="4">
        <v>111.21</v>
      </c>
      <c r="L16" s="4">
        <v>393</v>
      </c>
      <c r="M16" s="4">
        <v>393</v>
      </c>
      <c r="N16" s="4">
        <v>0</v>
      </c>
      <c r="O16" s="4">
        <v>0.34</v>
      </c>
      <c r="P16" s="4">
        <v>393</v>
      </c>
      <c r="Q16" s="4">
        <v>393</v>
      </c>
      <c r="R16" s="4">
        <v>0</v>
      </c>
      <c r="S16" s="4">
        <v>0.35</v>
      </c>
    </row>
    <row r="17" spans="1:19">
      <c r="A17" s="4" t="s">
        <v>19</v>
      </c>
      <c r="B17" s="3">
        <v>10</v>
      </c>
      <c r="C17" s="3">
        <v>2</v>
      </c>
      <c r="D17" s="4">
        <v>626</v>
      </c>
      <c r="E17" s="4">
        <v>356.62</v>
      </c>
      <c r="F17" s="4">
        <v>43.03</v>
      </c>
      <c r="G17" s="4">
        <v>3600</v>
      </c>
      <c r="H17" s="4">
        <v>626</v>
      </c>
      <c r="I17" s="4">
        <v>626</v>
      </c>
      <c r="J17" s="4">
        <v>0</v>
      </c>
      <c r="K17" s="4">
        <v>318.20999999999998</v>
      </c>
      <c r="L17" s="4">
        <v>626</v>
      </c>
      <c r="M17" s="4">
        <v>626</v>
      </c>
      <c r="N17" s="4">
        <v>0</v>
      </c>
      <c r="O17" s="4">
        <v>0.66</v>
      </c>
      <c r="P17" s="4">
        <v>626</v>
      </c>
      <c r="Q17" s="4">
        <v>626</v>
      </c>
      <c r="R17" s="4">
        <v>0</v>
      </c>
      <c r="S17" s="4">
        <v>0.67</v>
      </c>
    </row>
    <row r="18" spans="1:19">
      <c r="A18" s="4" t="s">
        <v>20</v>
      </c>
      <c r="B18" s="3">
        <v>10</v>
      </c>
      <c r="C18" s="3">
        <v>2</v>
      </c>
      <c r="D18" s="4">
        <v>346</v>
      </c>
      <c r="E18" s="4">
        <v>175.92</v>
      </c>
      <c r="F18" s="4">
        <v>49.16</v>
      </c>
      <c r="G18" s="4">
        <v>3600</v>
      </c>
      <c r="H18" s="4">
        <v>346</v>
      </c>
      <c r="I18" s="4">
        <v>346</v>
      </c>
      <c r="J18" s="4">
        <v>0</v>
      </c>
      <c r="K18" s="4">
        <v>140.36000000000001</v>
      </c>
      <c r="L18" s="4">
        <v>346</v>
      </c>
      <c r="M18" s="4">
        <v>346</v>
      </c>
      <c r="N18" s="4">
        <v>0</v>
      </c>
      <c r="O18" s="4">
        <v>0.39</v>
      </c>
      <c r="P18" s="4">
        <v>346</v>
      </c>
      <c r="Q18" s="4">
        <v>346</v>
      </c>
      <c r="R18" s="4">
        <v>0</v>
      </c>
      <c r="S18" s="4">
        <v>0.43</v>
      </c>
    </row>
    <row r="19" spans="1:19">
      <c r="A19" s="8"/>
      <c r="B19" s="9"/>
      <c r="C19" s="9"/>
      <c r="D19" s="8">
        <f t="shared" ref="D19:S19" si="3">AVERAGE(D16:D18)</f>
        <v>455</v>
      </c>
      <c r="E19" s="8">
        <f t="shared" si="3"/>
        <v>308.51333333333332</v>
      </c>
      <c r="F19" s="8">
        <f t="shared" si="3"/>
        <v>30.73</v>
      </c>
      <c r="G19" s="8">
        <f t="shared" si="3"/>
        <v>2461.2066666666665</v>
      </c>
      <c r="H19" s="8">
        <f t="shared" si="3"/>
        <v>455</v>
      </c>
      <c r="I19" s="8">
        <f t="shared" si="3"/>
        <v>455</v>
      </c>
      <c r="J19" s="8">
        <f t="shared" si="3"/>
        <v>0</v>
      </c>
      <c r="K19" s="8">
        <f t="shared" si="3"/>
        <v>189.92666666666665</v>
      </c>
      <c r="L19" s="8">
        <f t="shared" si="3"/>
        <v>455</v>
      </c>
      <c r="M19" s="8">
        <f t="shared" si="3"/>
        <v>455</v>
      </c>
      <c r="N19" s="8">
        <f t="shared" si="3"/>
        <v>0</v>
      </c>
      <c r="O19" s="8">
        <f t="shared" si="3"/>
        <v>0.46333333333333337</v>
      </c>
      <c r="P19" s="8">
        <f t="shared" si="3"/>
        <v>455</v>
      </c>
      <c r="Q19" s="8">
        <f t="shared" si="3"/>
        <v>455</v>
      </c>
      <c r="R19" s="8">
        <f t="shared" si="3"/>
        <v>0</v>
      </c>
      <c r="S19" s="8">
        <f t="shared" si="3"/>
        <v>0.48333333333333334</v>
      </c>
    </row>
    <row r="20" spans="1:19">
      <c r="A20" s="4" t="s">
        <v>21</v>
      </c>
      <c r="B20" s="3">
        <v>10</v>
      </c>
      <c r="C20" s="3">
        <v>3</v>
      </c>
      <c r="D20" s="4">
        <v>230</v>
      </c>
      <c r="E20" s="4">
        <v>230</v>
      </c>
      <c r="F20" s="4">
        <v>0</v>
      </c>
      <c r="G20" s="4">
        <v>376.6</v>
      </c>
      <c r="H20" s="4">
        <v>230</v>
      </c>
      <c r="I20" s="4">
        <v>230</v>
      </c>
      <c r="J20" s="4">
        <v>0</v>
      </c>
      <c r="K20" s="4">
        <v>11.03</v>
      </c>
      <c r="L20" s="4">
        <v>230</v>
      </c>
      <c r="M20" s="4">
        <v>230</v>
      </c>
      <c r="N20" s="4">
        <v>0</v>
      </c>
      <c r="O20" s="4">
        <v>0.35</v>
      </c>
      <c r="P20" s="4">
        <v>230</v>
      </c>
      <c r="Q20" s="4">
        <v>230</v>
      </c>
      <c r="R20" s="4">
        <v>0</v>
      </c>
      <c r="S20" s="4">
        <v>0.26</v>
      </c>
    </row>
    <row r="21" spans="1:19">
      <c r="A21" s="4" t="s">
        <v>22</v>
      </c>
      <c r="B21" s="3">
        <v>10</v>
      </c>
      <c r="C21" s="3">
        <v>3</v>
      </c>
      <c r="D21" s="4">
        <v>68</v>
      </c>
      <c r="E21" s="4">
        <v>68</v>
      </c>
      <c r="F21" s="4">
        <v>0</v>
      </c>
      <c r="G21" s="4">
        <v>2.08</v>
      </c>
      <c r="H21" s="4">
        <v>68</v>
      </c>
      <c r="I21" s="4">
        <v>68</v>
      </c>
      <c r="J21" s="4">
        <v>0</v>
      </c>
      <c r="K21" s="4">
        <v>0.89</v>
      </c>
      <c r="L21" s="4">
        <v>68</v>
      </c>
      <c r="M21" s="4">
        <v>68</v>
      </c>
      <c r="N21" s="4">
        <v>0</v>
      </c>
      <c r="O21" s="4">
        <v>0.14000000000000001</v>
      </c>
      <c r="P21" s="4">
        <v>68</v>
      </c>
      <c r="Q21" s="4">
        <v>68</v>
      </c>
      <c r="R21" s="4">
        <v>0</v>
      </c>
      <c r="S21" s="4">
        <v>0.2</v>
      </c>
    </row>
    <row r="22" spans="1:19">
      <c r="A22" s="4" t="s">
        <v>23</v>
      </c>
      <c r="B22" s="3">
        <v>10</v>
      </c>
      <c r="C22" s="3">
        <v>3</v>
      </c>
      <c r="D22" s="4">
        <v>60</v>
      </c>
      <c r="E22" s="4">
        <v>60</v>
      </c>
      <c r="F22" s="4">
        <v>0</v>
      </c>
      <c r="G22" s="4">
        <v>2.96</v>
      </c>
      <c r="H22" s="4">
        <v>60</v>
      </c>
      <c r="I22" s="4">
        <v>60</v>
      </c>
      <c r="J22" s="4">
        <v>0</v>
      </c>
      <c r="K22" s="4">
        <v>0.81</v>
      </c>
      <c r="L22" s="4">
        <v>60</v>
      </c>
      <c r="M22" s="4">
        <v>60</v>
      </c>
      <c r="N22" s="4">
        <v>0</v>
      </c>
      <c r="O22" s="4">
        <v>0.15</v>
      </c>
      <c r="P22" s="4">
        <v>60</v>
      </c>
      <c r="Q22" s="4">
        <v>60</v>
      </c>
      <c r="R22" s="4">
        <v>0</v>
      </c>
      <c r="S22" s="4">
        <v>0.13</v>
      </c>
    </row>
    <row r="23" spans="1:19">
      <c r="A23" s="8"/>
      <c r="B23" s="9"/>
      <c r="C23" s="9"/>
      <c r="D23" s="8">
        <f t="shared" ref="D23:S23" si="4">AVERAGE(D20:D22)</f>
        <v>119.33333333333333</v>
      </c>
      <c r="E23" s="8">
        <f t="shared" si="4"/>
        <v>119.33333333333333</v>
      </c>
      <c r="F23" s="8">
        <f t="shared" si="4"/>
        <v>0</v>
      </c>
      <c r="G23" s="8">
        <f t="shared" si="4"/>
        <v>127.21333333333332</v>
      </c>
      <c r="H23" s="8">
        <f t="shared" si="4"/>
        <v>119.33333333333333</v>
      </c>
      <c r="I23" s="8">
        <f t="shared" si="4"/>
        <v>119.33333333333333</v>
      </c>
      <c r="J23" s="8">
        <f t="shared" si="4"/>
        <v>0</v>
      </c>
      <c r="K23" s="8">
        <f t="shared" si="4"/>
        <v>4.2433333333333332</v>
      </c>
      <c r="L23" s="8">
        <f t="shared" si="4"/>
        <v>119.33333333333333</v>
      </c>
      <c r="M23" s="8">
        <f t="shared" si="4"/>
        <v>119.33333333333333</v>
      </c>
      <c r="N23" s="8">
        <f t="shared" si="4"/>
        <v>0</v>
      </c>
      <c r="O23" s="8">
        <f t="shared" si="4"/>
        <v>0.21333333333333335</v>
      </c>
      <c r="P23" s="8">
        <f t="shared" si="4"/>
        <v>119.33333333333333</v>
      </c>
      <c r="Q23" s="8">
        <f t="shared" si="4"/>
        <v>119.33333333333333</v>
      </c>
      <c r="R23" s="8">
        <f t="shared" si="4"/>
        <v>0</v>
      </c>
      <c r="S23" s="8">
        <f t="shared" si="4"/>
        <v>0.19666666666666668</v>
      </c>
    </row>
    <row r="24" spans="1:19">
      <c r="A24" s="4" t="s">
        <v>24</v>
      </c>
      <c r="B24" s="3">
        <v>10</v>
      </c>
      <c r="C24" s="3">
        <v>4</v>
      </c>
      <c r="D24" s="4">
        <v>122</v>
      </c>
      <c r="E24" s="4">
        <v>122</v>
      </c>
      <c r="F24" s="4">
        <v>0</v>
      </c>
      <c r="G24" s="4">
        <v>1.84</v>
      </c>
      <c r="H24" s="4">
        <v>122</v>
      </c>
      <c r="I24" s="4">
        <v>122</v>
      </c>
      <c r="J24" s="4">
        <v>0</v>
      </c>
      <c r="K24" s="4">
        <v>0.74</v>
      </c>
      <c r="L24" s="4">
        <v>122</v>
      </c>
      <c r="M24" s="4">
        <v>122</v>
      </c>
      <c r="N24" s="4">
        <v>0</v>
      </c>
      <c r="O24" s="4">
        <v>0.19</v>
      </c>
      <c r="P24" s="4">
        <v>122</v>
      </c>
      <c r="Q24" s="4">
        <v>122</v>
      </c>
      <c r="R24" s="4">
        <v>0</v>
      </c>
      <c r="S24" s="4">
        <v>0.15</v>
      </c>
    </row>
    <row r="25" spans="1:19">
      <c r="A25" s="4" t="s">
        <v>25</v>
      </c>
      <c r="B25" s="3">
        <v>10</v>
      </c>
      <c r="C25" s="3">
        <v>4</v>
      </c>
      <c r="D25" s="4">
        <v>209</v>
      </c>
      <c r="E25" s="4">
        <v>209</v>
      </c>
      <c r="F25" s="4">
        <v>0</v>
      </c>
      <c r="G25" s="4">
        <v>0.73</v>
      </c>
      <c r="H25" s="4">
        <v>209</v>
      </c>
      <c r="I25" s="4">
        <v>209</v>
      </c>
      <c r="J25" s="4">
        <v>0</v>
      </c>
      <c r="K25" s="4">
        <v>0.28000000000000003</v>
      </c>
      <c r="L25" s="4">
        <v>209</v>
      </c>
      <c r="M25" s="4">
        <v>209</v>
      </c>
      <c r="N25" s="4">
        <v>0</v>
      </c>
      <c r="O25" s="4">
        <v>0.23</v>
      </c>
      <c r="P25" s="4">
        <v>209</v>
      </c>
      <c r="Q25" s="4">
        <v>209</v>
      </c>
      <c r="R25" s="4">
        <v>0</v>
      </c>
      <c r="S25" s="4">
        <v>0.25</v>
      </c>
    </row>
    <row r="26" spans="1:19">
      <c r="A26" s="4" t="s">
        <v>26</v>
      </c>
      <c r="B26" s="3">
        <v>10</v>
      </c>
      <c r="C26" s="3">
        <v>4</v>
      </c>
      <c r="D26" s="4">
        <v>204</v>
      </c>
      <c r="E26" s="4">
        <v>204</v>
      </c>
      <c r="F26" s="4">
        <v>0</v>
      </c>
      <c r="G26" s="4">
        <v>0.69</v>
      </c>
      <c r="H26" s="4">
        <v>204</v>
      </c>
      <c r="I26" s="4">
        <v>204</v>
      </c>
      <c r="J26" s="4">
        <v>0</v>
      </c>
      <c r="K26" s="4">
        <v>0.28000000000000003</v>
      </c>
      <c r="L26" s="4">
        <v>204</v>
      </c>
      <c r="M26" s="4">
        <v>204</v>
      </c>
      <c r="N26" s="4">
        <v>0</v>
      </c>
      <c r="O26" s="4">
        <v>0.18</v>
      </c>
      <c r="P26" s="4">
        <v>204</v>
      </c>
      <c r="Q26" s="4">
        <v>204</v>
      </c>
      <c r="R26" s="4">
        <v>0</v>
      </c>
      <c r="S26" s="4">
        <v>0.21</v>
      </c>
    </row>
    <row r="27" spans="1:19">
      <c r="A27" s="8"/>
      <c r="B27" s="9"/>
      <c r="C27" s="9"/>
      <c r="D27" s="8">
        <f t="shared" ref="D27:S27" si="5">AVERAGE(D24:D26)</f>
        <v>178.33333333333334</v>
      </c>
      <c r="E27" s="8">
        <f t="shared" si="5"/>
        <v>178.33333333333334</v>
      </c>
      <c r="F27" s="8">
        <f t="shared" si="5"/>
        <v>0</v>
      </c>
      <c r="G27" s="8">
        <f t="shared" si="5"/>
        <v>1.0866666666666667</v>
      </c>
      <c r="H27" s="8">
        <f t="shared" si="5"/>
        <v>178.33333333333334</v>
      </c>
      <c r="I27" s="8">
        <f t="shared" si="5"/>
        <v>178.33333333333334</v>
      </c>
      <c r="J27" s="8">
        <f t="shared" si="5"/>
        <v>0</v>
      </c>
      <c r="K27" s="8">
        <f t="shared" si="5"/>
        <v>0.43333333333333335</v>
      </c>
      <c r="L27" s="8">
        <f t="shared" si="5"/>
        <v>178.33333333333334</v>
      </c>
      <c r="M27" s="8">
        <f t="shared" si="5"/>
        <v>178.33333333333334</v>
      </c>
      <c r="N27" s="8">
        <f t="shared" si="5"/>
        <v>0</v>
      </c>
      <c r="O27" s="8">
        <f t="shared" si="5"/>
        <v>0.20000000000000004</v>
      </c>
      <c r="P27" s="8">
        <f t="shared" si="5"/>
        <v>178.33333333333334</v>
      </c>
      <c r="Q27" s="8">
        <f t="shared" si="5"/>
        <v>178.33333333333334</v>
      </c>
      <c r="R27" s="8">
        <f t="shared" si="5"/>
        <v>0</v>
      </c>
      <c r="S27" s="8">
        <f t="shared" si="5"/>
        <v>0.20333333333333334</v>
      </c>
    </row>
    <row r="28" spans="1:19">
      <c r="A28" s="2" t="s">
        <v>27</v>
      </c>
      <c r="B28" s="1">
        <v>12</v>
      </c>
      <c r="C28" s="1">
        <v>2</v>
      </c>
      <c r="D28" s="2">
        <v>76</v>
      </c>
      <c r="E28" s="2">
        <v>76</v>
      </c>
      <c r="F28" s="2">
        <v>0</v>
      </c>
      <c r="G28" s="2">
        <v>1005.92</v>
      </c>
      <c r="H28" s="2">
        <v>76</v>
      </c>
      <c r="I28" s="2">
        <v>76</v>
      </c>
      <c r="J28" s="2">
        <v>0</v>
      </c>
      <c r="K28" s="2">
        <v>265.58</v>
      </c>
      <c r="L28" s="2">
        <v>76</v>
      </c>
      <c r="M28" s="2">
        <v>76</v>
      </c>
      <c r="N28" s="2">
        <v>0</v>
      </c>
      <c r="O28" s="2">
        <v>1.49</v>
      </c>
      <c r="P28" s="2">
        <v>76</v>
      </c>
      <c r="Q28" s="2">
        <v>76</v>
      </c>
      <c r="R28" s="2">
        <v>0</v>
      </c>
      <c r="S28" s="2">
        <v>1.48</v>
      </c>
    </row>
    <row r="29" spans="1:19">
      <c r="A29" s="2" t="s">
        <v>28</v>
      </c>
      <c r="B29" s="1">
        <v>12</v>
      </c>
      <c r="C29" s="1">
        <v>2</v>
      </c>
      <c r="D29" s="2">
        <v>9</v>
      </c>
      <c r="E29" s="2">
        <v>9</v>
      </c>
      <c r="F29" s="2">
        <v>0</v>
      </c>
      <c r="G29" s="2">
        <v>15.64</v>
      </c>
      <c r="H29" s="2">
        <v>9</v>
      </c>
      <c r="I29" s="2">
        <v>9</v>
      </c>
      <c r="J29" s="2">
        <v>0</v>
      </c>
      <c r="K29" s="2">
        <v>2.57</v>
      </c>
      <c r="L29" s="2">
        <v>9</v>
      </c>
      <c r="M29" s="2">
        <v>9</v>
      </c>
      <c r="N29" s="2">
        <v>0</v>
      </c>
      <c r="O29" s="2">
        <v>0.83</v>
      </c>
      <c r="P29" s="2">
        <v>9</v>
      </c>
      <c r="Q29" s="2">
        <v>9</v>
      </c>
      <c r="R29" s="2">
        <v>0</v>
      </c>
      <c r="S29" s="2">
        <v>0.82</v>
      </c>
    </row>
    <row r="30" spans="1:19">
      <c r="A30" s="2" t="s">
        <v>29</v>
      </c>
      <c r="B30" s="1">
        <v>12</v>
      </c>
      <c r="C30" s="1">
        <v>2</v>
      </c>
      <c r="D30" s="2">
        <v>160</v>
      </c>
      <c r="E30" s="2">
        <v>88</v>
      </c>
      <c r="F30" s="2">
        <v>45</v>
      </c>
      <c r="G30" s="2">
        <v>3600</v>
      </c>
      <c r="H30" s="2">
        <v>160</v>
      </c>
      <c r="I30" s="2">
        <v>31</v>
      </c>
      <c r="J30" s="2">
        <v>80.63</v>
      </c>
      <c r="K30" s="2">
        <v>3600</v>
      </c>
      <c r="L30" s="2">
        <v>160</v>
      </c>
      <c r="M30" s="2">
        <v>160</v>
      </c>
      <c r="N30" s="2">
        <v>0</v>
      </c>
      <c r="O30" s="2">
        <v>2.02</v>
      </c>
      <c r="P30" s="2">
        <v>160</v>
      </c>
      <c r="Q30" s="2">
        <v>160</v>
      </c>
      <c r="R30" s="2">
        <v>0</v>
      </c>
      <c r="S30" s="2">
        <v>2.0099999999999998</v>
      </c>
    </row>
    <row r="31" spans="1:19">
      <c r="A31" s="8"/>
      <c r="B31" s="9"/>
      <c r="C31" s="9"/>
      <c r="D31" s="8">
        <f t="shared" ref="D31:S31" si="6">AVERAGE(D28:D30)</f>
        <v>81.666666666666671</v>
      </c>
      <c r="E31" s="8">
        <f t="shared" si="6"/>
        <v>57.666666666666664</v>
      </c>
      <c r="F31" s="8">
        <f t="shared" si="6"/>
        <v>15</v>
      </c>
      <c r="G31" s="8">
        <f t="shared" si="6"/>
        <v>1540.5199999999998</v>
      </c>
      <c r="H31" s="8">
        <f t="shared" si="6"/>
        <v>81.666666666666671</v>
      </c>
      <c r="I31" s="8">
        <f t="shared" si="6"/>
        <v>38.666666666666664</v>
      </c>
      <c r="J31" s="8">
        <f t="shared" si="6"/>
        <v>26.876666666666665</v>
      </c>
      <c r="K31" s="8">
        <f t="shared" si="6"/>
        <v>1289.3833333333334</v>
      </c>
      <c r="L31" s="8">
        <f t="shared" si="6"/>
        <v>81.666666666666671</v>
      </c>
      <c r="M31" s="8">
        <f t="shared" si="6"/>
        <v>81.666666666666671</v>
      </c>
      <c r="N31" s="8">
        <f t="shared" si="6"/>
        <v>0</v>
      </c>
      <c r="O31" s="8">
        <f t="shared" si="6"/>
        <v>1.4466666666666665</v>
      </c>
      <c r="P31" s="8">
        <f t="shared" si="6"/>
        <v>81.666666666666671</v>
      </c>
      <c r="Q31" s="8">
        <f t="shared" si="6"/>
        <v>81.666666666666671</v>
      </c>
      <c r="R31" s="8">
        <f t="shared" si="6"/>
        <v>0</v>
      </c>
      <c r="S31" s="8">
        <f t="shared" si="6"/>
        <v>1.4366666666666665</v>
      </c>
    </row>
    <row r="32" spans="1:19">
      <c r="A32" s="2" t="s">
        <v>30</v>
      </c>
      <c r="B32" s="1">
        <v>12</v>
      </c>
      <c r="C32" s="1">
        <v>3</v>
      </c>
      <c r="D32" s="2">
        <v>298</v>
      </c>
      <c r="E32" s="2">
        <v>298</v>
      </c>
      <c r="F32" s="2">
        <v>0</v>
      </c>
      <c r="G32" s="2">
        <v>1355.16</v>
      </c>
      <c r="H32" s="2">
        <v>298</v>
      </c>
      <c r="I32" s="2">
        <v>298</v>
      </c>
      <c r="J32" s="2">
        <v>0</v>
      </c>
      <c r="K32" s="2">
        <v>852.21</v>
      </c>
      <c r="L32" s="2">
        <v>298</v>
      </c>
      <c r="M32" s="2">
        <v>298</v>
      </c>
      <c r="N32" s="2">
        <v>0</v>
      </c>
      <c r="O32" s="2">
        <v>2.86</v>
      </c>
      <c r="P32" s="2">
        <v>298</v>
      </c>
      <c r="Q32" s="2">
        <v>298</v>
      </c>
      <c r="R32" s="2">
        <v>0</v>
      </c>
      <c r="S32" s="2">
        <v>2.65</v>
      </c>
    </row>
    <row r="33" spans="1:19">
      <c r="A33" s="2" t="s">
        <v>31</v>
      </c>
      <c r="B33" s="1">
        <v>12</v>
      </c>
      <c r="C33" s="1">
        <v>3</v>
      </c>
      <c r="D33" s="2">
        <v>120</v>
      </c>
      <c r="E33" s="2">
        <v>120</v>
      </c>
      <c r="F33" s="2">
        <v>0</v>
      </c>
      <c r="G33" s="2">
        <v>230.64</v>
      </c>
      <c r="H33" s="2">
        <v>120</v>
      </c>
      <c r="I33" s="2">
        <v>120</v>
      </c>
      <c r="J33" s="2">
        <v>0</v>
      </c>
      <c r="K33" s="2">
        <v>89.3</v>
      </c>
      <c r="L33" s="2">
        <v>120</v>
      </c>
      <c r="M33" s="2">
        <v>120</v>
      </c>
      <c r="N33" s="2">
        <v>0</v>
      </c>
      <c r="O33" s="2">
        <v>1.74</v>
      </c>
      <c r="P33" s="2">
        <v>120</v>
      </c>
      <c r="Q33" s="2">
        <v>120</v>
      </c>
      <c r="R33" s="2">
        <v>0</v>
      </c>
      <c r="S33" s="2">
        <v>2.08</v>
      </c>
    </row>
    <row r="34" spans="1:19">
      <c r="A34" s="2" t="s">
        <v>32</v>
      </c>
      <c r="B34" s="1">
        <v>12</v>
      </c>
      <c r="C34" s="1">
        <v>3</v>
      </c>
      <c r="D34" s="2">
        <v>301</v>
      </c>
      <c r="E34" s="2">
        <v>164.14</v>
      </c>
      <c r="F34" s="2">
        <v>45.47</v>
      </c>
      <c r="G34" s="2">
        <v>3600</v>
      </c>
      <c r="H34" s="2">
        <v>301</v>
      </c>
      <c r="I34" s="2">
        <v>301</v>
      </c>
      <c r="J34" s="2">
        <v>0</v>
      </c>
      <c r="K34" s="2">
        <v>368.18</v>
      </c>
      <c r="L34" s="2">
        <v>301</v>
      </c>
      <c r="M34" s="2">
        <v>301</v>
      </c>
      <c r="N34" s="2">
        <v>0</v>
      </c>
      <c r="O34" s="2">
        <v>4.7300000000000004</v>
      </c>
      <c r="P34" s="2">
        <v>301</v>
      </c>
      <c r="Q34" s="2">
        <v>301</v>
      </c>
      <c r="R34" s="2">
        <v>0</v>
      </c>
      <c r="S34" s="2">
        <v>3.56</v>
      </c>
    </row>
    <row r="35" spans="1:19">
      <c r="A35" s="8"/>
      <c r="B35" s="9"/>
      <c r="C35" s="9"/>
      <c r="D35" s="8">
        <f t="shared" ref="D35:S35" si="7">AVERAGE(D32:D34)</f>
        <v>239.66666666666666</v>
      </c>
      <c r="E35" s="8">
        <f t="shared" si="7"/>
        <v>194.04666666666665</v>
      </c>
      <c r="F35" s="8">
        <f t="shared" si="7"/>
        <v>15.156666666666666</v>
      </c>
      <c r="G35" s="8">
        <f t="shared" si="7"/>
        <v>1728.6000000000001</v>
      </c>
      <c r="H35" s="8">
        <f t="shared" si="7"/>
        <v>239.66666666666666</v>
      </c>
      <c r="I35" s="8">
        <f t="shared" si="7"/>
        <v>239.66666666666666</v>
      </c>
      <c r="J35" s="8">
        <f t="shared" si="7"/>
        <v>0</v>
      </c>
      <c r="K35" s="8">
        <f t="shared" si="7"/>
        <v>436.56333333333333</v>
      </c>
      <c r="L35" s="8">
        <f t="shared" si="7"/>
        <v>239.66666666666666</v>
      </c>
      <c r="M35" s="8">
        <f t="shared" si="7"/>
        <v>239.66666666666666</v>
      </c>
      <c r="N35" s="8">
        <f t="shared" si="7"/>
        <v>0</v>
      </c>
      <c r="O35" s="8">
        <f t="shared" si="7"/>
        <v>3.11</v>
      </c>
      <c r="P35" s="8">
        <f t="shared" si="7"/>
        <v>239.66666666666666</v>
      </c>
      <c r="Q35" s="8">
        <f t="shared" si="7"/>
        <v>239.66666666666666</v>
      </c>
      <c r="R35" s="8">
        <f t="shared" si="7"/>
        <v>0</v>
      </c>
      <c r="S35" s="8">
        <f t="shared" si="7"/>
        <v>2.7633333333333336</v>
      </c>
    </row>
    <row r="36" spans="1:19">
      <c r="A36" s="2" t="s">
        <v>33</v>
      </c>
      <c r="B36" s="1">
        <v>12</v>
      </c>
      <c r="C36" s="1">
        <v>4</v>
      </c>
      <c r="D36" s="2">
        <v>364</v>
      </c>
      <c r="E36" s="2">
        <v>318.89</v>
      </c>
      <c r="F36" s="2">
        <v>12.39</v>
      </c>
      <c r="G36" s="2">
        <v>3600.01</v>
      </c>
      <c r="H36" s="2">
        <v>364</v>
      </c>
      <c r="I36" s="2">
        <v>364</v>
      </c>
      <c r="J36" s="2">
        <v>0</v>
      </c>
      <c r="K36" s="2">
        <v>55.23</v>
      </c>
      <c r="L36" s="2">
        <v>364</v>
      </c>
      <c r="M36" s="2">
        <v>364</v>
      </c>
      <c r="N36" s="2">
        <v>0</v>
      </c>
      <c r="O36" s="2">
        <v>3.48</v>
      </c>
      <c r="P36" s="2">
        <v>364</v>
      </c>
      <c r="Q36" s="2">
        <v>364</v>
      </c>
      <c r="R36" s="2">
        <v>0</v>
      </c>
      <c r="S36" s="2">
        <v>3.55</v>
      </c>
    </row>
    <row r="37" spans="1:19">
      <c r="A37" s="2" t="s">
        <v>34</v>
      </c>
      <c r="B37" s="1">
        <v>12</v>
      </c>
      <c r="C37" s="1">
        <v>4</v>
      </c>
      <c r="D37" s="2">
        <v>105</v>
      </c>
      <c r="E37" s="2">
        <v>105</v>
      </c>
      <c r="F37" s="2">
        <v>0</v>
      </c>
      <c r="G37" s="2">
        <v>4.49</v>
      </c>
      <c r="H37" s="2">
        <v>105</v>
      </c>
      <c r="I37" s="2">
        <v>105</v>
      </c>
      <c r="J37" s="2">
        <v>0</v>
      </c>
      <c r="K37" s="2">
        <v>0.97</v>
      </c>
      <c r="L37" s="2">
        <v>105</v>
      </c>
      <c r="M37" s="2">
        <v>105</v>
      </c>
      <c r="N37" s="2">
        <v>0</v>
      </c>
      <c r="O37" s="2">
        <v>1.71</v>
      </c>
      <c r="P37" s="2">
        <v>105</v>
      </c>
      <c r="Q37" s="2">
        <v>105</v>
      </c>
      <c r="R37" s="2">
        <v>0</v>
      </c>
      <c r="S37" s="2">
        <v>5.36</v>
      </c>
    </row>
    <row r="38" spans="1:19">
      <c r="A38" s="2" t="s">
        <v>35</v>
      </c>
      <c r="B38" s="1">
        <v>12</v>
      </c>
      <c r="C38" s="1">
        <v>4</v>
      </c>
      <c r="D38" s="2">
        <v>242</v>
      </c>
      <c r="E38" s="2">
        <v>187</v>
      </c>
      <c r="F38" s="2">
        <v>22.73</v>
      </c>
      <c r="G38" s="2">
        <v>3600</v>
      </c>
      <c r="H38" s="2">
        <v>242</v>
      </c>
      <c r="I38" s="2">
        <v>242</v>
      </c>
      <c r="J38" s="2">
        <v>0</v>
      </c>
      <c r="K38" s="2">
        <v>105.67</v>
      </c>
      <c r="L38" s="2">
        <v>242</v>
      </c>
      <c r="M38" s="2">
        <v>242</v>
      </c>
      <c r="N38" s="2">
        <v>0</v>
      </c>
      <c r="O38" s="2">
        <v>6.92</v>
      </c>
      <c r="P38" s="2">
        <v>242</v>
      </c>
      <c r="Q38" s="2">
        <v>242</v>
      </c>
      <c r="R38" s="2">
        <v>0</v>
      </c>
      <c r="S38" s="2">
        <v>6.53</v>
      </c>
    </row>
    <row r="39" spans="1:19">
      <c r="A39" s="12"/>
      <c r="B39" s="13"/>
      <c r="C39" s="13"/>
      <c r="D39" s="8">
        <f t="shared" ref="D39:S39" si="8">AVERAGE(D36:D38)</f>
        <v>237</v>
      </c>
      <c r="E39" s="8">
        <f t="shared" si="8"/>
        <v>203.63</v>
      </c>
      <c r="F39" s="8">
        <f t="shared" si="8"/>
        <v>11.706666666666669</v>
      </c>
      <c r="G39" s="8">
        <f t="shared" si="8"/>
        <v>2401.5</v>
      </c>
      <c r="H39" s="8">
        <f t="shared" si="8"/>
        <v>237</v>
      </c>
      <c r="I39" s="8">
        <f t="shared" si="8"/>
        <v>237</v>
      </c>
      <c r="J39" s="8">
        <f t="shared" si="8"/>
        <v>0</v>
      </c>
      <c r="K39" s="8">
        <f t="shared" si="8"/>
        <v>53.956666666666671</v>
      </c>
      <c r="L39" s="8">
        <f t="shared" si="8"/>
        <v>237</v>
      </c>
      <c r="M39" s="8">
        <f t="shared" si="8"/>
        <v>237</v>
      </c>
      <c r="N39" s="8">
        <f t="shared" si="8"/>
        <v>0</v>
      </c>
      <c r="O39" s="8">
        <f t="shared" si="8"/>
        <v>4.0366666666666662</v>
      </c>
      <c r="P39" s="8">
        <f t="shared" si="8"/>
        <v>237</v>
      </c>
      <c r="Q39" s="8">
        <f t="shared" si="8"/>
        <v>237</v>
      </c>
      <c r="R39" s="8">
        <f t="shared" si="8"/>
        <v>0</v>
      </c>
      <c r="S39" s="8">
        <f t="shared" si="8"/>
        <v>5.1466666666666674</v>
      </c>
    </row>
    <row r="40" spans="1:19" ht="19" customHeight="1">
      <c r="A40" s="15" t="s">
        <v>39</v>
      </c>
      <c r="B40" s="15"/>
      <c r="C40" s="15"/>
      <c r="D40" s="14">
        <v>220.14814814814815</v>
      </c>
      <c r="E40" s="14">
        <v>192.42851851851853</v>
      </c>
      <c r="F40" s="14">
        <v>8.0659259259259262</v>
      </c>
      <c r="G40" s="14">
        <v>919.54962962962964</v>
      </c>
      <c r="H40" s="14">
        <v>220.14814814814815</v>
      </c>
      <c r="I40" s="14">
        <v>215.37037037037038</v>
      </c>
      <c r="J40" s="14">
        <v>2.9862962962962962</v>
      </c>
      <c r="K40" s="14">
        <v>219.54296296296295</v>
      </c>
      <c r="L40" s="14">
        <v>220.14814814814815</v>
      </c>
      <c r="M40" s="14">
        <v>220.14814814814815</v>
      </c>
      <c r="N40" s="14">
        <v>0</v>
      </c>
      <c r="O40" s="14">
        <v>1.0707407407407408</v>
      </c>
      <c r="P40" s="14">
        <v>220.14814814814815</v>
      </c>
      <c r="Q40" s="14">
        <v>220.14814814814815</v>
      </c>
      <c r="R40" s="14">
        <v>0</v>
      </c>
      <c r="S40" s="14">
        <v>1.1544444444444446</v>
      </c>
    </row>
  </sheetData>
  <mergeCells count="7">
    <mergeCell ref="A40:C40"/>
    <mergeCell ref="A1:C2"/>
    <mergeCell ref="L1:S1"/>
    <mergeCell ref="L2:O2"/>
    <mergeCell ref="P2:S2"/>
    <mergeCell ref="D1:G2"/>
    <mergeCell ref="H1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wkTRP_Muritiba2021</vt:lpstr>
      <vt:lpstr>PMSDTT_Guo2015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zzl8576@126.com</dc:creator>
  <cp:lastModifiedBy>Zilong Zhao</cp:lastModifiedBy>
  <dcterms:created xsi:type="dcterms:W3CDTF">2025-11-27T16:37:26Z</dcterms:created>
  <dcterms:modified xsi:type="dcterms:W3CDTF">2026-09-14T14:55:07Z</dcterms:modified>
</cp:coreProperties>
</file>
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zl/Desktop/LBBD-TRB/"/>
    </mc:Choice>
  </mc:AlternateContent>
  <xr:revisionPtr revIDLastSave="0" documentId="13_ncr:1_{103D0744-F526-354A-8071-E31A3D90A669}" xr6:coauthVersionLast="47" xr6:coauthVersionMax="47" xr10:uidLastSave="{00000000-0000-0000-0000-000000000000}"/>
  <bookViews>
    <workbookView xWindow="-38400" yWindow="0" windowWidth="38400" windowHeight="21600" activeTab="2" xr2:uid="{58C86F6F-329C-5642-880A-17446B23EA73}"/>
  </bookViews>
  <sheets>
    <sheet name="LBBD with Different Cut Types" sheetId="9" r:id="rId1"/>
    <sheet name="CF1 and LBBD" sheetId="8" r:id="rId2"/>
    <sheet name="Spatial_dispersion_coefficient" sheetId="15" r:id="rId3"/>
    <sheet name="LBBD-TimeDecom-DP_States" sheetId="12" r:id="rId4"/>
    <sheet name="Obj-Compare" sheetId="2" r:id="rId5"/>
    <sheet name="Sensitivity Analysis" sheetId="3" r:id="rId6"/>
    <sheet name="Robustness_Test" sheetId="11" r:id="rId7"/>
    <sheet name="HeteSuppRate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5" l="1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4" i="15"/>
  <c r="AY39" i="12"/>
  <c r="AX39" i="12"/>
  <c r="AW39" i="12"/>
  <c r="AV39" i="12"/>
  <c r="AU39" i="12"/>
  <c r="AT39" i="12"/>
  <c r="AY30" i="12"/>
  <c r="AX30" i="12"/>
  <c r="AW30" i="12"/>
  <c r="AV30" i="12"/>
  <c r="AU30" i="12"/>
  <c r="AT30" i="12"/>
  <c r="AY21" i="12"/>
  <c r="AX21" i="12"/>
  <c r="AW21" i="12"/>
  <c r="AV21" i="12"/>
  <c r="AU21" i="12"/>
  <c r="AT21" i="12"/>
  <c r="AY12" i="12"/>
  <c r="AX12" i="12"/>
  <c r="AW12" i="12"/>
  <c r="AV12" i="12"/>
  <c r="AU12" i="12"/>
  <c r="AT12" i="12"/>
  <c r="D33" i="15"/>
  <c r="C33" i="15"/>
  <c r="D27" i="15"/>
  <c r="C27" i="15"/>
  <c r="D21" i="15"/>
  <c r="C21" i="15"/>
  <c r="D15" i="15"/>
  <c r="C15" i="15"/>
  <c r="D9" i="15"/>
  <c r="C9" i="15"/>
  <c r="E19" i="14"/>
  <c r="F19" i="14"/>
  <c r="G19" i="14"/>
  <c r="H19" i="14"/>
  <c r="I19" i="14"/>
  <c r="J19" i="14"/>
  <c r="K19" i="14"/>
  <c r="L19" i="14"/>
  <c r="M19" i="14"/>
  <c r="N19" i="14"/>
  <c r="O19" i="14"/>
  <c r="P19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F18" i="14"/>
  <c r="G18" i="14"/>
  <c r="H18" i="14"/>
  <c r="I18" i="14"/>
  <c r="J18" i="14"/>
  <c r="K18" i="14"/>
  <c r="L18" i="14"/>
  <c r="M18" i="14"/>
  <c r="N18" i="14"/>
  <c r="O18" i="14"/>
  <c r="P18" i="14"/>
  <c r="E18" i="14"/>
  <c r="E53" i="11"/>
  <c r="F53" i="11"/>
  <c r="G53" i="11"/>
  <c r="H53" i="11"/>
  <c r="E54" i="11"/>
  <c r="F54" i="11"/>
  <c r="G54" i="11"/>
  <c r="H54" i="11"/>
  <c r="E55" i="11"/>
  <c r="F55" i="11"/>
  <c r="G55" i="11"/>
  <c r="H55" i="11"/>
  <c r="E56" i="11"/>
  <c r="F56" i="11"/>
  <c r="G56" i="11"/>
  <c r="H56" i="11"/>
  <c r="E57" i="11"/>
  <c r="F57" i="11"/>
  <c r="G57" i="11"/>
  <c r="H57" i="11"/>
  <c r="E58" i="11"/>
  <c r="F58" i="11"/>
  <c r="G58" i="11"/>
  <c r="H58" i="11"/>
  <c r="E59" i="11"/>
  <c r="F59" i="11"/>
  <c r="G59" i="11"/>
  <c r="H59" i="11"/>
  <c r="E60" i="11"/>
  <c r="F60" i="11"/>
  <c r="G60" i="11"/>
  <c r="H60" i="11"/>
  <c r="E61" i="11"/>
  <c r="F61" i="11"/>
  <c r="G61" i="11"/>
  <c r="H61" i="11"/>
  <c r="E62" i="11"/>
  <c r="F62" i="11"/>
  <c r="G62" i="11"/>
  <c r="H62" i="11"/>
  <c r="E63" i="11"/>
  <c r="F63" i="11"/>
  <c r="G63" i="11"/>
  <c r="H63" i="11"/>
  <c r="E64" i="11"/>
  <c r="F64" i="11"/>
  <c r="G64" i="11"/>
  <c r="H64" i="11"/>
  <c r="E65" i="11"/>
  <c r="F65" i="11"/>
  <c r="G65" i="11"/>
  <c r="H65" i="11"/>
  <c r="E66" i="11"/>
  <c r="F66" i="11"/>
  <c r="G66" i="11"/>
  <c r="H66" i="11"/>
  <c r="E67" i="11"/>
  <c r="F67" i="11"/>
  <c r="G67" i="11"/>
  <c r="H67" i="11"/>
  <c r="E68" i="11"/>
  <c r="F68" i="11"/>
  <c r="G68" i="11"/>
  <c r="H68" i="11"/>
  <c r="E69" i="11"/>
  <c r="F69" i="11"/>
  <c r="G69" i="11"/>
  <c r="H69" i="11"/>
  <c r="E70" i="11"/>
  <c r="F70" i="11"/>
  <c r="G70" i="11"/>
  <c r="H70" i="11"/>
  <c r="E71" i="11"/>
  <c r="F71" i="11"/>
  <c r="G71" i="11"/>
  <c r="H71" i="11"/>
  <c r="E72" i="11"/>
  <c r="F72" i="11"/>
  <c r="G72" i="11"/>
  <c r="H72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53" i="11"/>
  <c r="S27" i="12"/>
  <c r="S28" i="12"/>
  <c r="S29" i="12"/>
  <c r="S30" i="12"/>
  <c r="S32" i="12"/>
  <c r="S33" i="12"/>
  <c r="S34" i="12"/>
  <c r="S35" i="12"/>
  <c r="S37" i="12"/>
  <c r="S38" i="12"/>
  <c r="S39" i="12"/>
  <c r="S40" i="12"/>
  <c r="S42" i="12"/>
  <c r="S43" i="12"/>
  <c r="S44" i="12"/>
  <c r="S45" i="12"/>
  <c r="K27" i="12"/>
  <c r="K28" i="12"/>
  <c r="K29" i="12"/>
  <c r="K30" i="12"/>
  <c r="K32" i="12"/>
  <c r="K33" i="12"/>
  <c r="K34" i="12"/>
  <c r="K35" i="12"/>
  <c r="K37" i="12"/>
  <c r="K38" i="12"/>
  <c r="K39" i="12"/>
  <c r="K40" i="12"/>
  <c r="K42" i="12"/>
  <c r="K43" i="12"/>
  <c r="K44" i="12"/>
  <c r="K45" i="12"/>
  <c r="AA27" i="12"/>
  <c r="AA28" i="12"/>
  <c r="AA29" i="12"/>
  <c r="AA30" i="12"/>
  <c r="AA32" i="12"/>
  <c r="AA33" i="12"/>
  <c r="AA34" i="12"/>
  <c r="AA35" i="12"/>
  <c r="AA37" i="12"/>
  <c r="AA38" i="12"/>
  <c r="AA39" i="12"/>
  <c r="AA40" i="12"/>
  <c r="AA42" i="12"/>
  <c r="AA43" i="12"/>
  <c r="AA44" i="12"/>
  <c r="AA45" i="12"/>
  <c r="AI5" i="12"/>
  <c r="AI6" i="12"/>
  <c r="AI7" i="12"/>
  <c r="AI9" i="12"/>
  <c r="AI10" i="12"/>
  <c r="AI11" i="12"/>
  <c r="AI12" i="12"/>
  <c r="AI14" i="12"/>
  <c r="AI15" i="12"/>
  <c r="AI16" i="12"/>
  <c r="AI17" i="12"/>
  <c r="AI19" i="12"/>
  <c r="AI20" i="12"/>
  <c r="AI21" i="12"/>
  <c r="AI22" i="12"/>
  <c r="AI27" i="12"/>
  <c r="AI28" i="12"/>
  <c r="AI29" i="12"/>
  <c r="AI30" i="12"/>
  <c r="AI32" i="12"/>
  <c r="AI33" i="12"/>
  <c r="AI34" i="12"/>
  <c r="AI35" i="12"/>
  <c r="AI37" i="12"/>
  <c r="AI38" i="12"/>
  <c r="AI39" i="12"/>
  <c r="AI40" i="12"/>
  <c r="AI42" i="12"/>
  <c r="AI43" i="12"/>
  <c r="AI44" i="12"/>
  <c r="AI45" i="12"/>
  <c r="AI4" i="12"/>
  <c r="AA5" i="12"/>
  <c r="AA6" i="12"/>
  <c r="AA7" i="12"/>
  <c r="AA9" i="12"/>
  <c r="AA10" i="12"/>
  <c r="AA11" i="12"/>
  <c r="AA12" i="12"/>
  <c r="AA14" i="12"/>
  <c r="AA15" i="12"/>
  <c r="AA16" i="12"/>
  <c r="AA17" i="12"/>
  <c r="AA19" i="12"/>
  <c r="AA20" i="12"/>
  <c r="AA21" i="12"/>
  <c r="AA22" i="12"/>
  <c r="AA4" i="12"/>
  <c r="S5" i="12"/>
  <c r="S6" i="12"/>
  <c r="S7" i="12"/>
  <c r="S9" i="12"/>
  <c r="S10" i="12"/>
  <c r="S11" i="12"/>
  <c r="S12" i="12"/>
  <c r="S14" i="12"/>
  <c r="S15" i="12"/>
  <c r="S16" i="12"/>
  <c r="S17" i="12"/>
  <c r="S19" i="12"/>
  <c r="S20" i="12"/>
  <c r="S21" i="12"/>
  <c r="S22" i="12"/>
  <c r="S4" i="12"/>
  <c r="K5" i="12"/>
  <c r="K6" i="12"/>
  <c r="K7" i="12"/>
  <c r="K9" i="12"/>
  <c r="K10" i="12"/>
  <c r="K11" i="12"/>
  <c r="K12" i="12"/>
  <c r="K14" i="12"/>
  <c r="K15" i="12"/>
  <c r="K16" i="12"/>
  <c r="K17" i="12"/>
  <c r="K19" i="12"/>
  <c r="K20" i="12"/>
  <c r="K21" i="12"/>
  <c r="K22" i="12"/>
  <c r="K4" i="12"/>
  <c r="D46" i="12"/>
  <c r="E46" i="12"/>
  <c r="F46" i="12"/>
  <c r="G46" i="12"/>
  <c r="H46" i="12"/>
  <c r="I46" i="12"/>
  <c r="J46" i="12"/>
  <c r="L46" i="12"/>
  <c r="M46" i="12"/>
  <c r="N46" i="12"/>
  <c r="O46" i="12"/>
  <c r="P46" i="12"/>
  <c r="Q46" i="12"/>
  <c r="R46" i="12"/>
  <c r="T46" i="12"/>
  <c r="U46" i="12"/>
  <c r="V46" i="12"/>
  <c r="W46" i="12"/>
  <c r="X46" i="12"/>
  <c r="Y46" i="12"/>
  <c r="Z46" i="12"/>
  <c r="AB46" i="12"/>
  <c r="AC46" i="12"/>
  <c r="AD46" i="12"/>
  <c r="AE46" i="12"/>
  <c r="AF46" i="12"/>
  <c r="AG46" i="12"/>
  <c r="AH46" i="12"/>
  <c r="D41" i="12"/>
  <c r="E41" i="12"/>
  <c r="F41" i="12"/>
  <c r="G41" i="12"/>
  <c r="H41" i="12"/>
  <c r="I41" i="12"/>
  <c r="J41" i="12"/>
  <c r="L41" i="12"/>
  <c r="M41" i="12"/>
  <c r="N41" i="12"/>
  <c r="O41" i="12"/>
  <c r="P41" i="12"/>
  <c r="Q41" i="12"/>
  <c r="R41" i="12"/>
  <c r="T41" i="12"/>
  <c r="U41" i="12"/>
  <c r="V41" i="12"/>
  <c r="W41" i="12"/>
  <c r="X41" i="12"/>
  <c r="Y41" i="12"/>
  <c r="Z41" i="12"/>
  <c r="AB41" i="12"/>
  <c r="AC41" i="12"/>
  <c r="AD41" i="12"/>
  <c r="AE41" i="12"/>
  <c r="AF41" i="12"/>
  <c r="AG41" i="12"/>
  <c r="AH41" i="12"/>
  <c r="D36" i="12"/>
  <c r="E36" i="12"/>
  <c r="F36" i="12"/>
  <c r="G36" i="12"/>
  <c r="H36" i="12"/>
  <c r="I36" i="12"/>
  <c r="J36" i="12"/>
  <c r="L36" i="12"/>
  <c r="M36" i="12"/>
  <c r="N36" i="12"/>
  <c r="O36" i="12"/>
  <c r="P36" i="12"/>
  <c r="Q36" i="12"/>
  <c r="R36" i="12"/>
  <c r="T36" i="12"/>
  <c r="U36" i="12"/>
  <c r="V36" i="12"/>
  <c r="W36" i="12"/>
  <c r="X36" i="12"/>
  <c r="Y36" i="12"/>
  <c r="Z36" i="12"/>
  <c r="AB36" i="12"/>
  <c r="AC36" i="12"/>
  <c r="AD36" i="12"/>
  <c r="AE36" i="12"/>
  <c r="AF36" i="12"/>
  <c r="AG36" i="12"/>
  <c r="AH36" i="12"/>
  <c r="D31" i="12"/>
  <c r="E31" i="12"/>
  <c r="F31" i="12"/>
  <c r="G31" i="12"/>
  <c r="H31" i="12"/>
  <c r="I31" i="12"/>
  <c r="J31" i="12"/>
  <c r="L31" i="12"/>
  <c r="M31" i="12"/>
  <c r="N31" i="12"/>
  <c r="O31" i="12"/>
  <c r="P31" i="12"/>
  <c r="Q31" i="12"/>
  <c r="R31" i="12"/>
  <c r="T31" i="12"/>
  <c r="U31" i="12"/>
  <c r="V31" i="12"/>
  <c r="W31" i="12"/>
  <c r="X31" i="12"/>
  <c r="Y31" i="12"/>
  <c r="Z31" i="12"/>
  <c r="AB31" i="12"/>
  <c r="AC31" i="12"/>
  <c r="AD31" i="12"/>
  <c r="AE31" i="12"/>
  <c r="AF31" i="12"/>
  <c r="AG31" i="12"/>
  <c r="AH31" i="12"/>
  <c r="D23" i="12"/>
  <c r="E23" i="12"/>
  <c r="F23" i="12"/>
  <c r="G23" i="12"/>
  <c r="H23" i="12"/>
  <c r="I23" i="12"/>
  <c r="J23" i="12"/>
  <c r="L23" i="12"/>
  <c r="M23" i="12"/>
  <c r="N23" i="12"/>
  <c r="O23" i="12"/>
  <c r="P23" i="12"/>
  <c r="Q23" i="12"/>
  <c r="R23" i="12"/>
  <c r="T23" i="12"/>
  <c r="U23" i="12"/>
  <c r="V23" i="12"/>
  <c r="W23" i="12"/>
  <c r="X23" i="12"/>
  <c r="Y23" i="12"/>
  <c r="Z23" i="12"/>
  <c r="AB23" i="12"/>
  <c r="AC23" i="12"/>
  <c r="AD23" i="12"/>
  <c r="AE23" i="12"/>
  <c r="AF23" i="12"/>
  <c r="AG23" i="12"/>
  <c r="AH23" i="12"/>
  <c r="D18" i="12"/>
  <c r="E18" i="12"/>
  <c r="F18" i="12"/>
  <c r="G18" i="12"/>
  <c r="H18" i="12"/>
  <c r="I18" i="12"/>
  <c r="J18" i="12"/>
  <c r="L18" i="12"/>
  <c r="M18" i="12"/>
  <c r="N18" i="12"/>
  <c r="O18" i="12"/>
  <c r="P18" i="12"/>
  <c r="Q18" i="12"/>
  <c r="R18" i="12"/>
  <c r="T18" i="12"/>
  <c r="U18" i="12"/>
  <c r="V18" i="12"/>
  <c r="W18" i="12"/>
  <c r="X18" i="12"/>
  <c r="Y18" i="12"/>
  <c r="Z18" i="12"/>
  <c r="AB18" i="12"/>
  <c r="AC18" i="12"/>
  <c r="AD18" i="12"/>
  <c r="AE18" i="12"/>
  <c r="AF18" i="12"/>
  <c r="AG18" i="12"/>
  <c r="AH18" i="12"/>
  <c r="D13" i="12"/>
  <c r="E13" i="12"/>
  <c r="F13" i="12"/>
  <c r="G13" i="12"/>
  <c r="H13" i="12"/>
  <c r="I13" i="12"/>
  <c r="J13" i="12"/>
  <c r="L13" i="12"/>
  <c r="M13" i="12"/>
  <c r="N13" i="12"/>
  <c r="O13" i="12"/>
  <c r="P13" i="12"/>
  <c r="Q13" i="12"/>
  <c r="R13" i="12"/>
  <c r="T13" i="12"/>
  <c r="U13" i="12"/>
  <c r="V13" i="12"/>
  <c r="W13" i="12"/>
  <c r="X13" i="12"/>
  <c r="Y13" i="12"/>
  <c r="Z13" i="12"/>
  <c r="AB13" i="12"/>
  <c r="AC13" i="12"/>
  <c r="AD13" i="12"/>
  <c r="AE13" i="12"/>
  <c r="AF13" i="12"/>
  <c r="AG13" i="12"/>
  <c r="AH13" i="12"/>
  <c r="D8" i="12"/>
  <c r="E8" i="12"/>
  <c r="F8" i="12"/>
  <c r="G8" i="12"/>
  <c r="H8" i="12"/>
  <c r="I8" i="12"/>
  <c r="J8" i="12"/>
  <c r="L8" i="12"/>
  <c r="M8" i="12"/>
  <c r="N8" i="12"/>
  <c r="O8" i="12"/>
  <c r="P8" i="12"/>
  <c r="Q8" i="12"/>
  <c r="R8" i="12"/>
  <c r="T8" i="12"/>
  <c r="U8" i="12"/>
  <c r="V8" i="12"/>
  <c r="W8" i="12"/>
  <c r="X8" i="12"/>
  <c r="Y8" i="12"/>
  <c r="Z8" i="12"/>
  <c r="AB8" i="12"/>
  <c r="AC8" i="12"/>
  <c r="AD8" i="12"/>
  <c r="AE8" i="12"/>
  <c r="AF8" i="12"/>
  <c r="AG8" i="12"/>
  <c r="AH8" i="12"/>
  <c r="D184" i="11"/>
  <c r="E184" i="11"/>
  <c r="F184" i="11"/>
  <c r="G184" i="11"/>
  <c r="H184" i="11"/>
  <c r="E135" i="11"/>
  <c r="F135" i="11"/>
  <c r="G135" i="11"/>
  <c r="H135" i="11"/>
  <c r="E136" i="11"/>
  <c r="F136" i="11"/>
  <c r="G136" i="11"/>
  <c r="H136" i="11"/>
  <c r="E137" i="11"/>
  <c r="F137" i="11"/>
  <c r="G137" i="11"/>
  <c r="H137" i="11"/>
  <c r="E138" i="11"/>
  <c r="F138" i="11"/>
  <c r="G138" i="11"/>
  <c r="H138" i="11"/>
  <c r="E140" i="11"/>
  <c r="F140" i="11"/>
  <c r="G140" i="11"/>
  <c r="H140" i="11"/>
  <c r="E141" i="11"/>
  <c r="F141" i="11"/>
  <c r="G141" i="11"/>
  <c r="H141" i="11"/>
  <c r="E142" i="11"/>
  <c r="F142" i="11"/>
  <c r="G142" i="11"/>
  <c r="H142" i="11"/>
  <c r="E143" i="11"/>
  <c r="F143" i="11"/>
  <c r="G143" i="11"/>
  <c r="H143" i="11"/>
  <c r="E144" i="11"/>
  <c r="F144" i="11"/>
  <c r="G144" i="11"/>
  <c r="H144" i="11"/>
  <c r="E146" i="11"/>
  <c r="F146" i="11"/>
  <c r="G146" i="11"/>
  <c r="H146" i="11"/>
  <c r="E147" i="11"/>
  <c r="F147" i="11"/>
  <c r="G147" i="11"/>
  <c r="H147" i="11"/>
  <c r="E148" i="11"/>
  <c r="F148" i="11"/>
  <c r="G148" i="11"/>
  <c r="H148" i="11"/>
  <c r="E149" i="11"/>
  <c r="F149" i="11"/>
  <c r="G149" i="11"/>
  <c r="H149" i="11"/>
  <c r="E150" i="11"/>
  <c r="F150" i="11"/>
  <c r="G150" i="11"/>
  <c r="H150" i="11"/>
  <c r="E152" i="11"/>
  <c r="F152" i="11"/>
  <c r="G152" i="11"/>
  <c r="H152" i="11"/>
  <c r="E153" i="11"/>
  <c r="F153" i="11"/>
  <c r="G153" i="11"/>
  <c r="H153" i="11"/>
  <c r="E154" i="11"/>
  <c r="F154" i="11"/>
  <c r="G154" i="11"/>
  <c r="H154" i="11"/>
  <c r="E155" i="11"/>
  <c r="F155" i="11"/>
  <c r="G155" i="11"/>
  <c r="H155" i="11"/>
  <c r="E156" i="11"/>
  <c r="F156" i="11"/>
  <c r="G156" i="11"/>
  <c r="H156" i="11"/>
  <c r="E134" i="11"/>
  <c r="F134" i="11"/>
  <c r="G134" i="11"/>
  <c r="H134" i="11"/>
  <c r="D135" i="11"/>
  <c r="D136" i="11"/>
  <c r="D137" i="11"/>
  <c r="D138" i="11"/>
  <c r="D140" i="11"/>
  <c r="D141" i="11"/>
  <c r="D142" i="11"/>
  <c r="D143" i="11"/>
  <c r="D144" i="11"/>
  <c r="D146" i="11"/>
  <c r="D147" i="11"/>
  <c r="D148" i="11"/>
  <c r="D149" i="11"/>
  <c r="D150" i="11"/>
  <c r="D152" i="11"/>
  <c r="D153" i="11"/>
  <c r="D154" i="11"/>
  <c r="D155" i="11"/>
  <c r="D156" i="11"/>
  <c r="D134" i="11"/>
  <c r="D44" i="2"/>
  <c r="E44" i="2"/>
  <c r="F44" i="2"/>
  <c r="G44" i="2"/>
  <c r="G23" i="2"/>
  <c r="F23" i="2"/>
  <c r="E23" i="2"/>
  <c r="D23" i="2"/>
  <c r="D96" i="2"/>
  <c r="E96" i="2"/>
  <c r="F96" i="2"/>
  <c r="G96" i="2"/>
  <c r="D90" i="2"/>
  <c r="E90" i="2"/>
  <c r="F90" i="2"/>
  <c r="G90" i="2"/>
  <c r="D84" i="2"/>
  <c r="E84" i="2"/>
  <c r="F84" i="2"/>
  <c r="G84" i="2"/>
  <c r="D78" i="2"/>
  <c r="E78" i="2"/>
  <c r="F78" i="2"/>
  <c r="G78" i="2"/>
  <c r="D72" i="2"/>
  <c r="E72" i="2"/>
  <c r="F72" i="2"/>
  <c r="G72" i="2"/>
  <c r="D66" i="2"/>
  <c r="E66" i="2"/>
  <c r="F66" i="2"/>
  <c r="G66" i="2"/>
  <c r="D60" i="2"/>
  <c r="E60" i="2"/>
  <c r="F60" i="2"/>
  <c r="G60" i="2"/>
  <c r="D54" i="2"/>
  <c r="E54" i="2"/>
  <c r="F54" i="2"/>
  <c r="G54" i="2"/>
  <c r="H95" i="2"/>
  <c r="H94" i="2"/>
  <c r="H93" i="2"/>
  <c r="H92" i="2"/>
  <c r="H91" i="2"/>
  <c r="H89" i="2"/>
  <c r="H88" i="2"/>
  <c r="H87" i="2"/>
  <c r="H86" i="2"/>
  <c r="H85" i="2"/>
  <c r="H83" i="2"/>
  <c r="H82" i="2"/>
  <c r="H81" i="2"/>
  <c r="H80" i="2"/>
  <c r="H79" i="2"/>
  <c r="H77" i="2"/>
  <c r="H76" i="2"/>
  <c r="H75" i="2"/>
  <c r="H74" i="2"/>
  <c r="H73" i="2"/>
  <c r="H71" i="2"/>
  <c r="H70" i="2"/>
  <c r="H69" i="2"/>
  <c r="H68" i="2"/>
  <c r="H67" i="2"/>
  <c r="H65" i="2"/>
  <c r="H64" i="2"/>
  <c r="H63" i="2"/>
  <c r="H62" i="2"/>
  <c r="H61" i="2"/>
  <c r="H66" i="2" s="1"/>
  <c r="H59" i="2"/>
  <c r="H58" i="2"/>
  <c r="H57" i="2"/>
  <c r="H56" i="2"/>
  <c r="H55" i="2"/>
  <c r="H53" i="2"/>
  <c r="H52" i="2"/>
  <c r="H51" i="2"/>
  <c r="H50" i="2"/>
  <c r="H49" i="2"/>
  <c r="L45" i="8"/>
  <c r="M45" i="8"/>
  <c r="N45" i="8"/>
  <c r="O45" i="8"/>
  <c r="P45" i="8"/>
  <c r="Q45" i="8"/>
  <c r="R45" i="8"/>
  <c r="S45" i="8"/>
  <c r="D45" i="8"/>
  <c r="E45" i="8"/>
  <c r="F45" i="8"/>
  <c r="G45" i="8"/>
  <c r="O47" i="9"/>
  <c r="H94" i="9"/>
  <c r="I94" i="9"/>
  <c r="J94" i="9"/>
  <c r="K94" i="9"/>
  <c r="L102" i="8"/>
  <c r="M102" i="8"/>
  <c r="N102" i="8"/>
  <c r="O102" i="8"/>
  <c r="H47" i="9"/>
  <c r="I47" i="9"/>
  <c r="J47" i="9"/>
  <c r="K47" i="9"/>
  <c r="L47" i="9"/>
  <c r="M47" i="9"/>
  <c r="N47" i="9"/>
  <c r="L36" i="9"/>
  <c r="M36" i="9"/>
  <c r="N36" i="9"/>
  <c r="O36" i="9"/>
  <c r="P39" i="8"/>
  <c r="Q39" i="8"/>
  <c r="R39" i="8"/>
  <c r="S39" i="8"/>
  <c r="W78" i="8"/>
  <c r="V78" i="8"/>
  <c r="U78" i="8"/>
  <c r="T78" i="8"/>
  <c r="W72" i="8"/>
  <c r="V72" i="8"/>
  <c r="U72" i="8"/>
  <c r="T72" i="8"/>
  <c r="W66" i="8"/>
  <c r="V66" i="8"/>
  <c r="U66" i="8"/>
  <c r="T66" i="8"/>
  <c r="W60" i="8"/>
  <c r="V60" i="8"/>
  <c r="U60" i="8"/>
  <c r="T60" i="8"/>
  <c r="W9" i="8"/>
  <c r="W27" i="8"/>
  <c r="V27" i="8"/>
  <c r="U27" i="8"/>
  <c r="T27" i="8"/>
  <c r="W21" i="8"/>
  <c r="V21" i="8"/>
  <c r="U21" i="8"/>
  <c r="T21" i="8"/>
  <c r="W15" i="8"/>
  <c r="V15" i="8"/>
  <c r="U15" i="8"/>
  <c r="T15" i="8"/>
  <c r="V9" i="8"/>
  <c r="U9" i="8"/>
  <c r="T9" i="8"/>
  <c r="P51" i="8"/>
  <c r="Q51" i="8"/>
  <c r="R51" i="8"/>
  <c r="S51" i="8"/>
  <c r="P33" i="8"/>
  <c r="Q33" i="8"/>
  <c r="R33" i="8"/>
  <c r="S33" i="8"/>
  <c r="L39" i="8"/>
  <c r="M39" i="8"/>
  <c r="N39" i="8"/>
  <c r="O39" i="8"/>
  <c r="L33" i="8"/>
  <c r="M33" i="8"/>
  <c r="N33" i="8"/>
  <c r="O33" i="8"/>
  <c r="T39" i="8"/>
  <c r="U39" i="8"/>
  <c r="V39" i="8"/>
  <c r="T33" i="8"/>
  <c r="U33" i="8"/>
  <c r="V33" i="8"/>
  <c r="AB102" i="8"/>
  <c r="AC102" i="8"/>
  <c r="AD102" i="8"/>
  <c r="AE102" i="8"/>
  <c r="AB96" i="8"/>
  <c r="AC96" i="8"/>
  <c r="AD96" i="8"/>
  <c r="AE96" i="8"/>
  <c r="AB90" i="8"/>
  <c r="AC90" i="8"/>
  <c r="AD90" i="8"/>
  <c r="AE90" i="8"/>
  <c r="AB84" i="8"/>
  <c r="AC84" i="8"/>
  <c r="AD84" i="8"/>
  <c r="AE84" i="8"/>
  <c r="X102" i="8"/>
  <c r="Y102" i="8"/>
  <c r="Z102" i="8"/>
  <c r="AA102" i="8"/>
  <c r="X96" i="8"/>
  <c r="Y96" i="8"/>
  <c r="Z96" i="8"/>
  <c r="AA96" i="8"/>
  <c r="X90" i="8"/>
  <c r="Y90" i="8"/>
  <c r="Z90" i="8"/>
  <c r="AA90" i="8"/>
  <c r="X84" i="8"/>
  <c r="Y84" i="8"/>
  <c r="Z84" i="8"/>
  <c r="AA84" i="8"/>
  <c r="T102" i="8"/>
  <c r="U102" i="8"/>
  <c r="V102" i="8"/>
  <c r="W102" i="8"/>
  <c r="T96" i="8"/>
  <c r="U96" i="8"/>
  <c r="V96" i="8"/>
  <c r="W96" i="8"/>
  <c r="T84" i="8"/>
  <c r="U84" i="8"/>
  <c r="V84" i="8"/>
  <c r="W84" i="8"/>
  <c r="T90" i="8"/>
  <c r="U90" i="8"/>
  <c r="V90" i="8"/>
  <c r="W90" i="8"/>
  <c r="AB51" i="8"/>
  <c r="AC51" i="8"/>
  <c r="AD51" i="8"/>
  <c r="AE51" i="8"/>
  <c r="AB45" i="8"/>
  <c r="AC45" i="8"/>
  <c r="AD45" i="8"/>
  <c r="AE45" i="8"/>
  <c r="W39" i="8"/>
  <c r="W33" i="8"/>
  <c r="AB39" i="8"/>
  <c r="AC39" i="8"/>
  <c r="AD39" i="8"/>
  <c r="AE39" i="8"/>
  <c r="X39" i="8"/>
  <c r="Y39" i="8"/>
  <c r="Z39" i="8"/>
  <c r="AA39" i="8"/>
  <c r="X33" i="8"/>
  <c r="Y33" i="8"/>
  <c r="Z33" i="8"/>
  <c r="AA33" i="8"/>
  <c r="AB33" i="8"/>
  <c r="AC33" i="8"/>
  <c r="AD33" i="8"/>
  <c r="AE33" i="8"/>
  <c r="X51" i="8"/>
  <c r="Y51" i="8"/>
  <c r="Z51" i="8"/>
  <c r="AA51" i="8"/>
  <c r="T51" i="8"/>
  <c r="U51" i="8"/>
  <c r="V51" i="8"/>
  <c r="W51" i="8"/>
  <c r="T45" i="8"/>
  <c r="U45" i="8"/>
  <c r="V45" i="8"/>
  <c r="W45" i="8"/>
  <c r="X45" i="8"/>
  <c r="Y45" i="8"/>
  <c r="Z45" i="8"/>
  <c r="AA45" i="8"/>
  <c r="AB78" i="8"/>
  <c r="AC78" i="8"/>
  <c r="AD78" i="8"/>
  <c r="AE78" i="8"/>
  <c r="X78" i="8"/>
  <c r="Y78" i="8"/>
  <c r="Z78" i="8"/>
  <c r="AA78" i="8"/>
  <c r="AB72" i="8"/>
  <c r="AC72" i="8"/>
  <c r="AD72" i="8"/>
  <c r="AE72" i="8"/>
  <c r="X72" i="8"/>
  <c r="Y72" i="8"/>
  <c r="Z72" i="8"/>
  <c r="AA72" i="8"/>
  <c r="AB66" i="8"/>
  <c r="AC66" i="8"/>
  <c r="AD66" i="8"/>
  <c r="AE66" i="8"/>
  <c r="X66" i="8"/>
  <c r="Y66" i="8"/>
  <c r="Z66" i="8"/>
  <c r="AA66" i="8"/>
  <c r="AB60" i="8"/>
  <c r="AC60" i="8"/>
  <c r="AD60" i="8"/>
  <c r="AE60" i="8"/>
  <c r="X60" i="8"/>
  <c r="Y60" i="8"/>
  <c r="Z60" i="8"/>
  <c r="AA60" i="8"/>
  <c r="AB27" i="8"/>
  <c r="AC27" i="8"/>
  <c r="AD27" i="8"/>
  <c r="AE27" i="8"/>
  <c r="X27" i="8"/>
  <c r="Y27" i="8"/>
  <c r="Z27" i="8"/>
  <c r="AA27" i="8"/>
  <c r="AB21" i="8"/>
  <c r="AC21" i="8"/>
  <c r="AD21" i="8"/>
  <c r="AE21" i="8"/>
  <c r="X21" i="8"/>
  <c r="Y21" i="8"/>
  <c r="Z21" i="8"/>
  <c r="AA21" i="8"/>
  <c r="AB15" i="8"/>
  <c r="AC15" i="8"/>
  <c r="AD15" i="8"/>
  <c r="AE15" i="8"/>
  <c r="X15" i="8"/>
  <c r="Y15" i="8"/>
  <c r="Z15" i="8"/>
  <c r="AA15" i="8"/>
  <c r="AB9" i="8"/>
  <c r="AC9" i="8"/>
  <c r="AD9" i="8"/>
  <c r="AE9" i="8"/>
  <c r="X9" i="8"/>
  <c r="Y9" i="8"/>
  <c r="Z9" i="8"/>
  <c r="AA9" i="8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G94" i="9"/>
  <c r="F94" i="9"/>
  <c r="E94" i="9"/>
  <c r="D94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AA47" i="9"/>
  <c r="Z47" i="9"/>
  <c r="Y47" i="9"/>
  <c r="X47" i="9"/>
  <c r="W47" i="9"/>
  <c r="V47" i="9"/>
  <c r="U47" i="9"/>
  <c r="T47" i="9"/>
  <c r="S47" i="9"/>
  <c r="R47" i="9"/>
  <c r="Q47" i="9"/>
  <c r="P47" i="9"/>
  <c r="G47" i="9"/>
  <c r="F47" i="9"/>
  <c r="E47" i="9"/>
  <c r="D47" i="9"/>
  <c r="AA36" i="9"/>
  <c r="Z36" i="9"/>
  <c r="Y36" i="9"/>
  <c r="X36" i="9"/>
  <c r="W36" i="9"/>
  <c r="V36" i="9"/>
  <c r="U36" i="9"/>
  <c r="T36" i="9"/>
  <c r="S36" i="9"/>
  <c r="R36" i="9"/>
  <c r="Q36" i="9"/>
  <c r="P36" i="9"/>
  <c r="K36" i="9"/>
  <c r="J36" i="9"/>
  <c r="I36" i="9"/>
  <c r="H36" i="9"/>
  <c r="G36" i="9"/>
  <c r="F36" i="9"/>
  <c r="E36" i="9"/>
  <c r="D36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P102" i="8"/>
  <c r="Q102" i="8"/>
  <c r="R102" i="8"/>
  <c r="S102" i="8"/>
  <c r="L51" i="8"/>
  <c r="M51" i="8"/>
  <c r="N51" i="8"/>
  <c r="O51" i="8"/>
  <c r="P84" i="8"/>
  <c r="Q84" i="8"/>
  <c r="R84" i="8"/>
  <c r="S84" i="8"/>
  <c r="L84" i="8"/>
  <c r="M84" i="8"/>
  <c r="N84" i="8"/>
  <c r="O84" i="8"/>
  <c r="P78" i="8"/>
  <c r="Q78" i="8"/>
  <c r="R78" i="8"/>
  <c r="S78" i="8"/>
  <c r="L78" i="8"/>
  <c r="M78" i="8"/>
  <c r="N78" i="8"/>
  <c r="O78" i="8"/>
  <c r="P72" i="8"/>
  <c r="Q72" i="8"/>
  <c r="R72" i="8"/>
  <c r="S72" i="8"/>
  <c r="L72" i="8"/>
  <c r="M72" i="8"/>
  <c r="N72" i="8"/>
  <c r="O72" i="8"/>
  <c r="P66" i="8"/>
  <c r="Q66" i="8"/>
  <c r="R66" i="8"/>
  <c r="S66" i="8"/>
  <c r="L66" i="8"/>
  <c r="M66" i="8"/>
  <c r="N66" i="8"/>
  <c r="O66" i="8"/>
  <c r="P60" i="8"/>
  <c r="Q60" i="8"/>
  <c r="R60" i="8"/>
  <c r="S60" i="8"/>
  <c r="L60" i="8"/>
  <c r="M60" i="8"/>
  <c r="N60" i="8"/>
  <c r="O60" i="8"/>
  <c r="P27" i="8"/>
  <c r="Q27" i="8"/>
  <c r="R27" i="8"/>
  <c r="S27" i="8"/>
  <c r="L27" i="8"/>
  <c r="M27" i="8"/>
  <c r="N27" i="8"/>
  <c r="O27" i="8"/>
  <c r="P21" i="8"/>
  <c r="Q21" i="8"/>
  <c r="R21" i="8"/>
  <c r="S21" i="8"/>
  <c r="L21" i="8"/>
  <c r="M21" i="8"/>
  <c r="N21" i="8"/>
  <c r="O21" i="8"/>
  <c r="P15" i="8"/>
  <c r="Q15" i="8"/>
  <c r="R15" i="8"/>
  <c r="S15" i="8"/>
  <c r="L15" i="8"/>
  <c r="M15" i="8"/>
  <c r="N15" i="8"/>
  <c r="O15" i="8"/>
  <c r="P9" i="8"/>
  <c r="Q9" i="8"/>
  <c r="R9" i="8"/>
  <c r="S9" i="8"/>
  <c r="L9" i="8"/>
  <c r="M9" i="8"/>
  <c r="N9" i="8"/>
  <c r="O9" i="8"/>
  <c r="P96" i="8"/>
  <c r="Q96" i="8"/>
  <c r="R96" i="8"/>
  <c r="S96" i="8"/>
  <c r="L96" i="8"/>
  <c r="M96" i="8"/>
  <c r="N96" i="8"/>
  <c r="O96" i="8"/>
  <c r="P90" i="8"/>
  <c r="Q90" i="8"/>
  <c r="R90" i="8"/>
  <c r="S90" i="8"/>
  <c r="L90" i="8"/>
  <c r="M90" i="8"/>
  <c r="N90" i="8"/>
  <c r="O90" i="8"/>
  <c r="K102" i="8"/>
  <c r="J102" i="8"/>
  <c r="I102" i="8"/>
  <c r="H102" i="8"/>
  <c r="G102" i="8"/>
  <c r="F102" i="8"/>
  <c r="E102" i="8"/>
  <c r="D102" i="8"/>
  <c r="K96" i="8"/>
  <c r="J96" i="8"/>
  <c r="I96" i="8"/>
  <c r="H96" i="8"/>
  <c r="G96" i="8"/>
  <c r="F96" i="8"/>
  <c r="E96" i="8"/>
  <c r="D96" i="8"/>
  <c r="K90" i="8"/>
  <c r="J90" i="8"/>
  <c r="I90" i="8"/>
  <c r="H90" i="8"/>
  <c r="G90" i="8"/>
  <c r="F90" i="8"/>
  <c r="E90" i="8"/>
  <c r="D90" i="8"/>
  <c r="K84" i="8"/>
  <c r="J84" i="8"/>
  <c r="I84" i="8"/>
  <c r="H84" i="8"/>
  <c r="G84" i="8"/>
  <c r="F84" i="8"/>
  <c r="E84" i="8"/>
  <c r="D84" i="8"/>
  <c r="K78" i="8"/>
  <c r="J78" i="8"/>
  <c r="I78" i="8"/>
  <c r="H78" i="8"/>
  <c r="G78" i="8"/>
  <c r="F78" i="8"/>
  <c r="E78" i="8"/>
  <c r="D78" i="8"/>
  <c r="K72" i="8"/>
  <c r="J72" i="8"/>
  <c r="I72" i="8"/>
  <c r="H72" i="8"/>
  <c r="G72" i="8"/>
  <c r="F72" i="8"/>
  <c r="E72" i="8"/>
  <c r="D72" i="8"/>
  <c r="K66" i="8"/>
  <c r="J66" i="8"/>
  <c r="I66" i="8"/>
  <c r="H66" i="8"/>
  <c r="G66" i="8"/>
  <c r="F66" i="8"/>
  <c r="E66" i="8"/>
  <c r="D66" i="8"/>
  <c r="K60" i="8"/>
  <c r="J60" i="8"/>
  <c r="I60" i="8"/>
  <c r="H60" i="8"/>
  <c r="G60" i="8"/>
  <c r="F60" i="8"/>
  <c r="E60" i="8"/>
  <c r="D60" i="8"/>
  <c r="K51" i="8"/>
  <c r="J51" i="8"/>
  <c r="I51" i="8"/>
  <c r="H51" i="8"/>
  <c r="G51" i="8"/>
  <c r="F51" i="8"/>
  <c r="E51" i="8"/>
  <c r="D51" i="8"/>
  <c r="K45" i="8"/>
  <c r="J45" i="8"/>
  <c r="I45" i="8"/>
  <c r="H45" i="8"/>
  <c r="K39" i="8"/>
  <c r="J39" i="8"/>
  <c r="I39" i="8"/>
  <c r="H39" i="8"/>
  <c r="G39" i="8"/>
  <c r="F39" i="8"/>
  <c r="E39" i="8"/>
  <c r="D39" i="8"/>
  <c r="K33" i="8"/>
  <c r="J33" i="8"/>
  <c r="I33" i="8"/>
  <c r="H33" i="8"/>
  <c r="G33" i="8"/>
  <c r="F33" i="8"/>
  <c r="E33" i="8"/>
  <c r="D33" i="8"/>
  <c r="K27" i="8"/>
  <c r="J27" i="8"/>
  <c r="I27" i="8"/>
  <c r="H27" i="8"/>
  <c r="G27" i="8"/>
  <c r="F27" i="8"/>
  <c r="E27" i="8"/>
  <c r="D27" i="8"/>
  <c r="K21" i="8"/>
  <c r="J21" i="8"/>
  <c r="I21" i="8"/>
  <c r="H21" i="8"/>
  <c r="G21" i="8"/>
  <c r="F21" i="8"/>
  <c r="E21" i="8"/>
  <c r="D21" i="8"/>
  <c r="K15" i="8"/>
  <c r="J15" i="8"/>
  <c r="I15" i="8"/>
  <c r="H15" i="8"/>
  <c r="G15" i="8"/>
  <c r="F15" i="8"/>
  <c r="E15" i="8"/>
  <c r="D15" i="8"/>
  <c r="K9" i="8"/>
  <c r="J9" i="8"/>
  <c r="I9" i="8"/>
  <c r="H9" i="8"/>
  <c r="G9" i="8"/>
  <c r="F9" i="8"/>
  <c r="E9" i="8"/>
  <c r="D9" i="8"/>
  <c r="D45" i="3"/>
  <c r="E45" i="3"/>
  <c r="F45" i="3"/>
  <c r="C45" i="3"/>
  <c r="D34" i="3"/>
  <c r="E34" i="3"/>
  <c r="F34" i="3"/>
  <c r="C34" i="3"/>
  <c r="D23" i="3"/>
  <c r="E23" i="3"/>
  <c r="F23" i="3"/>
  <c r="C23" i="3"/>
  <c r="D12" i="3"/>
  <c r="E12" i="3"/>
  <c r="F12" i="3"/>
  <c r="C12" i="3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17" i="2"/>
  <c r="Q16" i="2"/>
  <c r="Q15" i="2"/>
  <c r="Q14" i="2"/>
  <c r="Q13" i="2"/>
  <c r="Q22" i="2"/>
  <c r="Q21" i="2"/>
  <c r="Q20" i="2"/>
  <c r="Q19" i="2"/>
  <c r="Q18" i="2"/>
  <c r="Q12" i="2"/>
  <c r="Q11" i="2"/>
  <c r="Q10" i="2"/>
  <c r="Q9" i="2"/>
  <c r="Q8" i="2"/>
  <c r="Q7" i="2"/>
  <c r="Q6" i="2"/>
  <c r="Q5" i="2"/>
  <c r="Q4" i="2"/>
  <c r="Q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3" i="2"/>
  <c r="K36" i="12" l="1"/>
  <c r="K13" i="12"/>
  <c r="AI46" i="12"/>
  <c r="AA46" i="12"/>
  <c r="S46" i="12"/>
  <c r="AI13" i="12"/>
  <c r="AA36" i="12"/>
  <c r="S36" i="12"/>
  <c r="K23" i="12"/>
  <c r="S13" i="12"/>
  <c r="AA13" i="12"/>
  <c r="AI23" i="12"/>
  <c r="AA41" i="12"/>
  <c r="AA31" i="12"/>
  <c r="K41" i="12"/>
  <c r="K31" i="12"/>
  <c r="S41" i="12"/>
  <c r="S31" i="12"/>
  <c r="K46" i="12"/>
  <c r="S23" i="12"/>
  <c r="AA23" i="12"/>
  <c r="AI36" i="12"/>
  <c r="K8" i="12"/>
  <c r="K18" i="12"/>
  <c r="S8" i="12"/>
  <c r="S18" i="12"/>
  <c r="AA8" i="12"/>
  <c r="AA18" i="12"/>
  <c r="AI8" i="12"/>
  <c r="AI41" i="12"/>
  <c r="AI31" i="12"/>
  <c r="AI18" i="12"/>
  <c r="H44" i="2"/>
  <c r="H72" i="2"/>
  <c r="H23" i="2"/>
  <c r="H84" i="2"/>
  <c r="H78" i="2"/>
  <c r="H60" i="2"/>
  <c r="H96" i="2"/>
  <c r="H90" i="2"/>
  <c r="H54" i="2"/>
  <c r="F139" i="11"/>
  <c r="E151" i="11"/>
  <c r="D139" i="11"/>
  <c r="F151" i="11"/>
  <c r="E139" i="11"/>
  <c r="G157" i="11"/>
  <c r="H157" i="11"/>
  <c r="H145" i="11"/>
  <c r="G145" i="11"/>
  <c r="D151" i="11"/>
  <c r="F157" i="11"/>
  <c r="F145" i="11"/>
  <c r="E157" i="11"/>
  <c r="E145" i="11"/>
  <c r="H139" i="11"/>
  <c r="H151" i="11"/>
  <c r="D157" i="11"/>
  <c r="D145" i="11"/>
  <c r="G139" i="11"/>
  <c r="G151" i="11"/>
</calcChain>
</file>

<file path=xl/sharedStrings.xml><?xml version="1.0" encoding="utf-8"?>
<sst xmlns="http://schemas.openxmlformats.org/spreadsheetml/2006/main" count="411" uniqueCount="98">
  <si>
    <t>Instance</t>
    <phoneticPr fontId="1" type="noConversion"/>
  </si>
  <si>
    <r>
      <t>|</t>
    </r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|</t>
    </r>
    <phoneticPr fontId="1" type="noConversion"/>
  </si>
  <si>
    <r>
      <t>|</t>
    </r>
    <r>
      <rPr>
        <i/>
        <sz val="12"/>
        <color theme="1"/>
        <rFont val="Times New Roman"/>
        <family val="1"/>
      </rPr>
      <t>K</t>
    </r>
    <r>
      <rPr>
        <sz val="12"/>
        <color theme="1"/>
        <rFont val="Times New Roman"/>
        <family val="1"/>
      </rPr>
      <t>|</t>
    </r>
    <phoneticPr fontId="1" type="noConversion"/>
  </si>
  <si>
    <t>UB</t>
    <phoneticPr fontId="1" type="noConversion"/>
  </si>
  <si>
    <t>LB</t>
    <phoneticPr fontId="1" type="noConversion"/>
  </si>
  <si>
    <t>Gap(%)</t>
    <phoneticPr fontId="1" type="noConversion"/>
  </si>
  <si>
    <t>Time(s)</t>
    <phoneticPr fontId="1" type="noConversion"/>
  </si>
  <si>
    <t>Type</t>
    <phoneticPr fontId="1" type="noConversion"/>
  </si>
  <si>
    <t>Cluster</t>
    <phoneticPr fontId="1" type="noConversion"/>
  </si>
  <si>
    <t>Random</t>
    <phoneticPr fontId="1" type="noConversion"/>
  </si>
  <si>
    <r>
      <t>|</t>
    </r>
    <r>
      <rPr>
        <i/>
        <sz val="14"/>
        <color theme="1"/>
        <rFont val="Times New Roman"/>
        <family val="1"/>
      </rPr>
      <t>N</t>
    </r>
    <r>
      <rPr>
        <sz val="14"/>
        <color theme="1"/>
        <rFont val="Times New Roman"/>
        <family val="1"/>
      </rPr>
      <t>|</t>
    </r>
    <phoneticPr fontId="1" type="noConversion"/>
  </si>
  <si>
    <r>
      <t>|</t>
    </r>
    <r>
      <rPr>
        <i/>
        <sz val="14"/>
        <color theme="1"/>
        <rFont val="Times New Roman"/>
        <family val="1"/>
      </rPr>
      <t>K</t>
    </r>
    <r>
      <rPr>
        <sz val="14"/>
        <color theme="1"/>
        <rFont val="Times New Roman"/>
        <family val="1"/>
      </rPr>
      <t>|</t>
    </r>
    <phoneticPr fontId="1" type="noConversion"/>
  </si>
  <si>
    <t>Cmax_1</t>
    <phoneticPr fontId="1" type="noConversion"/>
  </si>
  <si>
    <t>TotalD_1</t>
    <phoneticPr fontId="1" type="noConversion"/>
  </si>
  <si>
    <t>TotalD_2</t>
    <phoneticPr fontId="1" type="noConversion"/>
  </si>
  <si>
    <t>(TotalD_2 - TotalD_1) / TotalD_2 * 100%</t>
    <phoneticPr fontId="1" type="noConversion"/>
  </si>
  <si>
    <t>Instance</t>
  </si>
  <si>
    <t>Avg</t>
  </si>
  <si>
    <t>Avg</t>
    <phoneticPr fontId="1" type="noConversion"/>
  </si>
  <si>
    <t>R10-4-1</t>
    <phoneticPr fontId="1" type="noConversion"/>
  </si>
  <si>
    <t>R10-4-2</t>
  </si>
  <si>
    <t>R10-4-3</t>
  </si>
  <si>
    <t>R10-4-4</t>
  </si>
  <si>
    <t>R10-4-5</t>
  </si>
  <si>
    <t>C10-4-1</t>
    <phoneticPr fontId="1" type="noConversion"/>
  </si>
  <si>
    <t>C10-4-2</t>
  </si>
  <si>
    <t>C10-4-3</t>
  </si>
  <si>
    <t>C10-4-4</t>
  </si>
  <si>
    <t>C10-4-5</t>
  </si>
  <si>
    <t>Ins</t>
    <phoneticPr fontId="1" type="noConversion"/>
  </si>
  <si>
    <t>¯v = 40</t>
    <phoneticPr fontId="1" type="noConversion"/>
  </si>
  <si>
    <t>¯v = 50</t>
    <phoneticPr fontId="1" type="noConversion"/>
  </si>
  <si>
    <t>¯v = 60</t>
    <phoneticPr fontId="1" type="noConversion"/>
  </si>
  <si>
    <t>¯v = 70</t>
    <phoneticPr fontId="1" type="noConversion"/>
  </si>
  <si>
    <t>LBBD-SP-DP</t>
  </si>
  <si>
    <t>Cmax_2</t>
    <phoneticPr fontId="1" type="noConversion"/>
  </si>
  <si>
    <t>CF1</t>
    <phoneticPr fontId="1" type="noConversion"/>
  </si>
  <si>
    <t>LBBD-SP-GRB</t>
    <phoneticPr fontId="1" type="noConversion"/>
  </si>
  <si>
    <t>OC</t>
    <phoneticPr fontId="1" type="noConversion"/>
  </si>
  <si>
    <t>AC</t>
    <phoneticPr fontId="1" type="noConversion"/>
  </si>
  <si>
    <t>OAC</t>
    <phoneticPr fontId="1" type="noConversion"/>
  </si>
  <si>
    <t xml:space="preserve">LBBD-SP-DP											</t>
    <phoneticPr fontId="1" type="noConversion"/>
  </si>
  <si>
    <t>CF1 (minTotalD)</t>
    <phoneticPr fontId="1" type="noConversion"/>
  </si>
  <si>
    <t>CF2 (minCmax)</t>
    <phoneticPr fontId="1" type="noConversion"/>
  </si>
  <si>
    <t>v</t>
    <phoneticPr fontId="1" type="noConversion"/>
  </si>
  <si>
    <t>LBBD-SP-DP</t>
    <phoneticPr fontId="1" type="noConversion"/>
  </si>
  <si>
    <t>v = 500</t>
    <phoneticPr fontId="1" type="noConversion"/>
  </si>
  <si>
    <t>v = 550</t>
    <phoneticPr fontId="1" type="noConversion"/>
  </si>
  <si>
    <t>v = 650</t>
    <phoneticPr fontId="1" type="noConversion"/>
  </si>
  <si>
    <t>v = 700</t>
    <phoneticPr fontId="1" type="noConversion"/>
  </si>
  <si>
    <t>v = 600</t>
    <phoneticPr fontId="1" type="noConversion"/>
  </si>
  <si>
    <t>v_bar</t>
    <phoneticPr fontId="1" type="noConversion"/>
  </si>
  <si>
    <t>v_bar = 40</t>
    <phoneticPr fontId="1" type="noConversion"/>
  </si>
  <si>
    <t>v_bar = 50</t>
    <phoneticPr fontId="1" type="noConversion"/>
  </si>
  <si>
    <t>v_bar = 54</t>
    <phoneticPr fontId="1" type="noConversion"/>
  </si>
  <si>
    <t>v_bar = 60</t>
    <phoneticPr fontId="1" type="noConversion"/>
  </si>
  <si>
    <t>v_bar = 70</t>
    <phoneticPr fontId="1" type="noConversion"/>
  </si>
  <si>
    <t>T_MP</t>
    <phoneticPr fontId="1" type="noConversion"/>
  </si>
  <si>
    <t>T_SP</t>
    <phoneticPr fontId="1" type="noConversion"/>
  </si>
  <si>
    <t>T_total</t>
    <phoneticPr fontId="1" type="noConversion"/>
  </si>
  <si>
    <t>NoC</t>
    <phoneticPr fontId="1" type="noConversion"/>
  </si>
  <si>
    <t>T_cut</t>
    <phoneticPr fontId="1" type="noConversion"/>
  </si>
  <si>
    <t>#MIPSOL</t>
    <phoneticPr fontId="1" type="noConversion"/>
  </si>
  <si>
    <t>Gap</t>
    <phoneticPr fontId="1" type="noConversion"/>
  </si>
  <si>
    <t>|N_k|_max</t>
    <phoneticPr fontId="1" type="noConversion"/>
  </si>
  <si>
    <t>Tuples_Generated</t>
    <phoneticPr fontId="1" type="noConversion"/>
  </si>
  <si>
    <t>Tuples_UB-pruned</t>
    <phoneticPr fontId="1" type="noConversion"/>
  </si>
  <si>
    <t>Tuples_Retained</t>
    <phoneticPr fontId="1" type="noConversion"/>
  </si>
  <si>
    <t>UB_PruningRate</t>
    <phoneticPr fontId="1" type="noConversion"/>
  </si>
  <si>
    <t>Max Tuples_perS</t>
    <phoneticPr fontId="1" type="noConversion"/>
  </si>
  <si>
    <t>|N|</t>
    <phoneticPr fontId="1" type="noConversion"/>
  </si>
  <si>
    <t>T_SP/Ttotal</t>
    <phoneticPr fontId="1" type="noConversion"/>
  </si>
  <si>
    <t>(54, 54)</t>
    <phoneticPr fontId="1" type="noConversion"/>
  </si>
  <si>
    <t>s1 (40, 54)</t>
    <phoneticPr fontId="1" type="noConversion"/>
  </si>
  <si>
    <t>s2 (70, 54)</t>
    <phoneticPr fontId="1" type="noConversion"/>
  </si>
  <si>
    <t>s3 (54, 40)</t>
    <phoneticPr fontId="1" type="noConversion"/>
  </si>
  <si>
    <t>s4 (54, 70)</t>
    <phoneticPr fontId="1" type="noConversion"/>
  </si>
  <si>
    <t>PA</t>
    <phoneticPr fontId="1" type="noConversion"/>
  </si>
  <si>
    <t>NA</t>
    <phoneticPr fontId="1" type="noConversion"/>
  </si>
  <si>
    <t>IA</t>
    <phoneticPr fontId="1" type="noConversion"/>
  </si>
  <si>
    <t>No</t>
    <phoneticPr fontId="1" type="noConversion"/>
  </si>
  <si>
    <t>TotalD^0</t>
    <phoneticPr fontId="1" type="noConversion"/>
  </si>
  <si>
    <t>h = 25</t>
    <phoneticPr fontId="1" type="noConversion"/>
  </si>
  <si>
    <t>h = 50</t>
    <phoneticPr fontId="1" type="noConversion"/>
  </si>
  <si>
    <t>h = 75</t>
    <phoneticPr fontId="1" type="noConversion"/>
  </si>
  <si>
    <t>h = 100</t>
    <phoneticPr fontId="1" type="noConversion"/>
  </si>
  <si>
    <t>λ</t>
  </si>
  <si>
    <t>T_OC</t>
    <phoneticPr fontId="1" type="noConversion"/>
  </si>
  <si>
    <t>T_AC</t>
    <phoneticPr fontId="1" type="noConversion"/>
  </si>
  <si>
    <t>T_OC/T_AC</t>
    <phoneticPr fontId="1" type="noConversion"/>
  </si>
  <si>
    <t>LBBD-SP-DP-AC</t>
    <phoneticPr fontId="1" type="noConversion"/>
  </si>
  <si>
    <t>R_dij/v_bar</t>
    <phoneticPr fontId="1" type="noConversion"/>
  </si>
  <si>
    <t>R_v</t>
    <phoneticPr fontId="1" type="noConversion"/>
  </si>
  <si>
    <t>For v_bar</t>
    <phoneticPr fontId="1" type="noConversion"/>
  </si>
  <si>
    <t>Table1 Nominal scheduling scheme under realized parameters</t>
    <phoneticPr fontId="1" type="noConversion"/>
  </si>
  <si>
    <t>Table2 Ex-post optimal solutions under identical realized parameters</t>
    <phoneticPr fontId="1" type="noConversion"/>
  </si>
  <si>
    <r>
      <t xml:space="preserve">For dij/v_bar </t>
    </r>
    <r>
      <rPr>
        <sz val="14"/>
        <color theme="1"/>
        <rFont val="SimSun"/>
        <family val="3"/>
        <charset val="134"/>
      </rPr>
      <t>（</t>
    </r>
    <r>
      <rPr>
        <sz val="14"/>
        <color theme="1"/>
        <rFont val="Times New Roman"/>
        <family val="1"/>
      </rPr>
      <t>4 Scenarios</t>
    </r>
    <r>
      <rPr>
        <sz val="14"/>
        <color theme="1"/>
        <rFont val="SimSun"/>
        <family val="3"/>
        <charset val="134"/>
      </rPr>
      <t>）</t>
    </r>
    <phoneticPr fontId="1" type="noConversion"/>
  </si>
  <si>
    <t xml:space="preserve">For common v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</si>
</sst>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);\(0.00\)"/>
    <numFmt numFmtId="178" formatCode="0_);[Red]\(0\)"/>
    <numFmt numFmtId="179" formatCode="0.00_ 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theme="1"/>
      <name val="等线"/>
      <family val="2"/>
      <charset val="134"/>
      <scheme val="minor"/>
    </font>
    <font>
      <i/>
      <sz val="14"/>
      <color theme="1"/>
      <name val="Times New Roman"/>
      <family val="1"/>
    </font>
    <font>
      <sz val="12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SimSun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5" fillId="6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177" fontId="5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7" fontId="4" fillId="8" borderId="1" xfId="0" applyNumberFormat="1" applyFont="1" applyFill="1" applyBorder="1" applyAlignment="1">
      <alignment horizontal="center" vertical="center"/>
    </xf>
    <xf numFmtId="176" fontId="2" fillId="4" borderId="5" xfId="0" applyNumberFormat="1" applyFont="1" applyFill="1" applyBorder="1" applyAlignment="1">
      <alignment horizontal="center" vertical="center"/>
    </xf>
    <xf numFmtId="177" fontId="2" fillId="4" borderId="5" xfId="0" applyNumberFormat="1" applyFont="1" applyFill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2" fillId="4" borderId="6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2" fillId="0" borderId="0" xfId="0" applyNumberFormat="1" applyFont="1">
      <alignment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177" fontId="2" fillId="5" borderId="7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0" fillId="0" borderId="8" xfId="0" applyNumberFormat="1" applyBorder="1">
      <alignment vertical="center"/>
    </xf>
    <xf numFmtId="0" fontId="2" fillId="0" borderId="9" xfId="0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176" fontId="5" fillId="4" borderId="1" xfId="0" applyNumberFormat="1" applyFont="1" applyFill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10" xfId="0" applyNumberFormat="1" applyFont="1" applyBorder="1" applyAlignment="1">
      <alignment horizontal="center" vertical="center"/>
    </xf>
    <xf numFmtId="176" fontId="5" fillId="10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176" fontId="2" fillId="9" borderId="8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5" borderId="2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11" xfId="0" applyNumberFormat="1" applyFont="1" applyFill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2" borderId="1" xfId="0" applyFont="1" applyFill="1" applyBorder="1">
      <alignment vertical="center"/>
    </xf>
    <xf numFmtId="179" fontId="5" fillId="0" borderId="1" xfId="0" applyNumberFormat="1" applyFont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7" fontId="5" fillId="2" borderId="5" xfId="0" applyNumberFormat="1" applyFont="1" applyFill="1" applyBorder="1" applyAlignment="1">
      <alignment horizontal="center" vertical="center" wrapText="1"/>
    </xf>
    <xf numFmtId="177" fontId="5" fillId="2" borderId="7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177" fontId="2" fillId="2" borderId="3" xfId="0" applyNumberFormat="1" applyFont="1" applyFill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177" fontId="2" fillId="2" borderId="8" xfId="0" applyNumberFormat="1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7" fontId="2" fillId="1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74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1ABC-AB72-AE4C-8C89-5A0A640A11DA}">
  <dimension ref="A1:AA94"/>
  <sheetViews>
    <sheetView zoomScale="90" zoomScaleNormal="140" workbookViewId="0">
      <pane xSplit="3" ySplit="3" topLeftCell="D51" activePane="bottomRight" state="frozen"/>
      <selection pane="topRight" activeCell="D1" sqref="D1"/>
      <selection pane="bottomLeft" activeCell="A4" sqref="A4"/>
      <selection pane="bottomRight" activeCell="AC25" sqref="AC25"/>
    </sheetView>
  </sheetViews>
  <sheetFormatPr baseColWidth="10" defaultRowHeight="16"/>
  <cols>
    <col min="4" max="4" width="12.33203125" customWidth="1"/>
    <col min="5" max="5" width="12" customWidth="1"/>
    <col min="8" max="8" width="12.1640625" customWidth="1"/>
    <col min="9" max="9" width="11.6640625" customWidth="1"/>
    <col min="12" max="12" width="12.1640625" customWidth="1"/>
    <col min="13" max="13" width="11.83203125" customWidth="1"/>
    <col min="16" max="16" width="12.5" customWidth="1"/>
    <col min="17" max="17" width="11.6640625" customWidth="1"/>
    <col min="20" max="20" width="12.33203125" customWidth="1"/>
    <col min="21" max="21" width="12.1640625" customWidth="1"/>
    <col min="24" max="24" width="11.5" customWidth="1"/>
    <col min="25" max="25" width="11.83203125" customWidth="1"/>
  </cols>
  <sheetData>
    <row r="1" spans="1:27" ht="25" customHeight="1">
      <c r="A1" s="98" t="s">
        <v>0</v>
      </c>
      <c r="B1" s="98"/>
      <c r="C1" s="98"/>
      <c r="D1" s="110" t="s">
        <v>37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1" t="s">
        <v>34</v>
      </c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</row>
    <row r="2" spans="1:27" ht="22" customHeight="1">
      <c r="A2" s="99"/>
      <c r="B2" s="99"/>
      <c r="C2" s="99"/>
      <c r="D2" s="112" t="s">
        <v>38</v>
      </c>
      <c r="E2" s="113"/>
      <c r="F2" s="113"/>
      <c r="G2" s="114"/>
      <c r="H2" s="112" t="s">
        <v>39</v>
      </c>
      <c r="I2" s="113"/>
      <c r="J2" s="113"/>
      <c r="K2" s="114"/>
      <c r="L2" s="112" t="s">
        <v>40</v>
      </c>
      <c r="M2" s="113"/>
      <c r="N2" s="113"/>
      <c r="O2" s="114"/>
      <c r="P2" s="112" t="s">
        <v>38</v>
      </c>
      <c r="Q2" s="113"/>
      <c r="R2" s="113"/>
      <c r="S2" s="114"/>
      <c r="T2" s="112" t="s">
        <v>39</v>
      </c>
      <c r="U2" s="113"/>
      <c r="V2" s="113"/>
      <c r="W2" s="114"/>
      <c r="X2" s="112" t="s">
        <v>40</v>
      </c>
      <c r="Y2" s="113"/>
      <c r="Z2" s="113"/>
      <c r="AA2" s="114"/>
    </row>
    <row r="3" spans="1:27" ht="22" customHeight="1">
      <c r="A3" s="6" t="s">
        <v>7</v>
      </c>
      <c r="B3" s="7" t="s">
        <v>1</v>
      </c>
      <c r="C3" s="40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3</v>
      </c>
      <c r="I3" s="6" t="s">
        <v>4</v>
      </c>
      <c r="J3" s="6" t="s">
        <v>5</v>
      </c>
      <c r="K3" s="6" t="s">
        <v>6</v>
      </c>
      <c r="L3" s="6" t="s">
        <v>3</v>
      </c>
      <c r="M3" s="6" t="s">
        <v>4</v>
      </c>
      <c r="N3" s="6" t="s">
        <v>5</v>
      </c>
      <c r="O3" s="6" t="s">
        <v>6</v>
      </c>
      <c r="P3" s="6" t="s">
        <v>3</v>
      </c>
      <c r="Q3" s="6" t="s">
        <v>4</v>
      </c>
      <c r="R3" s="6" t="s">
        <v>5</v>
      </c>
      <c r="S3" s="6" t="s">
        <v>6</v>
      </c>
      <c r="T3" s="6" t="s">
        <v>3</v>
      </c>
      <c r="U3" s="6" t="s">
        <v>4</v>
      </c>
      <c r="V3" s="6" t="s">
        <v>5</v>
      </c>
      <c r="W3" s="6" t="s">
        <v>6</v>
      </c>
      <c r="X3" s="6" t="s">
        <v>3</v>
      </c>
      <c r="Y3" s="6" t="s">
        <v>4</v>
      </c>
      <c r="Z3" s="6" t="s">
        <v>5</v>
      </c>
      <c r="AA3" s="6" t="s">
        <v>6</v>
      </c>
    </row>
    <row r="4" spans="1:27">
      <c r="A4" s="108" t="s">
        <v>8</v>
      </c>
      <c r="B4" s="105">
        <v>5</v>
      </c>
      <c r="C4" s="104">
        <v>2</v>
      </c>
      <c r="D4" s="21">
        <v>14864.49</v>
      </c>
      <c r="E4" s="21">
        <v>14864.49</v>
      </c>
      <c r="F4" s="21">
        <v>0</v>
      </c>
      <c r="G4" s="21">
        <v>0.12</v>
      </c>
      <c r="H4" s="21">
        <v>14864.49</v>
      </c>
      <c r="I4" s="21">
        <v>14864.49</v>
      </c>
      <c r="J4" s="21">
        <v>0</v>
      </c>
      <c r="K4" s="21">
        <v>0.17</v>
      </c>
      <c r="L4" s="21">
        <v>14864.49</v>
      </c>
      <c r="M4" s="21">
        <v>14864.49</v>
      </c>
      <c r="N4" s="21">
        <v>0</v>
      </c>
      <c r="O4" s="21">
        <v>0.17</v>
      </c>
      <c r="P4" s="3">
        <v>14864.49</v>
      </c>
      <c r="Q4" s="3">
        <v>14864.49</v>
      </c>
      <c r="R4" s="3">
        <v>0</v>
      </c>
      <c r="S4" s="3">
        <v>0.05</v>
      </c>
      <c r="T4" s="3">
        <v>14864.49</v>
      </c>
      <c r="U4" s="3">
        <v>14864.49</v>
      </c>
      <c r="V4" s="3">
        <v>0</v>
      </c>
      <c r="W4" s="3">
        <v>7.0000000000000007E-2</v>
      </c>
      <c r="X4" s="3">
        <v>14864.49</v>
      </c>
      <c r="Y4" s="3">
        <v>14864.49</v>
      </c>
      <c r="Z4" s="3">
        <v>0</v>
      </c>
      <c r="AA4" s="3">
        <v>0.04</v>
      </c>
    </row>
    <row r="5" spans="1:27">
      <c r="A5" s="109"/>
      <c r="B5" s="100"/>
      <c r="C5" s="102"/>
      <c r="D5" s="21">
        <v>10514.44</v>
      </c>
      <c r="E5" s="21">
        <v>10514.44</v>
      </c>
      <c r="F5" s="21">
        <v>0</v>
      </c>
      <c r="G5" s="21">
        <v>0.08</v>
      </c>
      <c r="H5" s="21">
        <v>10514.44</v>
      </c>
      <c r="I5" s="21">
        <v>10514.44</v>
      </c>
      <c r="J5" s="21">
        <v>0</v>
      </c>
      <c r="K5" s="21">
        <v>0.08</v>
      </c>
      <c r="L5" s="21">
        <v>10514.44</v>
      </c>
      <c r="M5" s="21">
        <v>10514.44</v>
      </c>
      <c r="N5" s="21">
        <v>0</v>
      </c>
      <c r="O5" s="21">
        <v>0.11</v>
      </c>
      <c r="P5" s="3">
        <v>10514.44</v>
      </c>
      <c r="Q5" s="3">
        <v>10514.44</v>
      </c>
      <c r="R5" s="3">
        <v>0</v>
      </c>
      <c r="S5" s="3">
        <v>0.01</v>
      </c>
      <c r="T5" s="3">
        <v>10514.44</v>
      </c>
      <c r="U5" s="3">
        <v>10514.44</v>
      </c>
      <c r="V5" s="3">
        <v>0</v>
      </c>
      <c r="W5" s="3">
        <v>0.05</v>
      </c>
      <c r="X5" s="3">
        <v>10514.44</v>
      </c>
      <c r="Y5" s="3">
        <v>10514.44</v>
      </c>
      <c r="Z5" s="3">
        <v>0</v>
      </c>
      <c r="AA5" s="3">
        <v>0.04</v>
      </c>
    </row>
    <row r="6" spans="1:27">
      <c r="A6" s="109"/>
      <c r="B6" s="100"/>
      <c r="C6" s="102"/>
      <c r="D6" s="21">
        <v>8002.47</v>
      </c>
      <c r="E6" s="21">
        <v>8002.47</v>
      </c>
      <c r="F6" s="21">
        <v>0</v>
      </c>
      <c r="G6" s="21">
        <v>0.15</v>
      </c>
      <c r="H6" s="21">
        <v>8002.47</v>
      </c>
      <c r="I6" s="21">
        <v>8002.47</v>
      </c>
      <c r="J6" s="21">
        <v>0</v>
      </c>
      <c r="K6" s="21">
        <v>0.1</v>
      </c>
      <c r="L6" s="21">
        <v>8002.47</v>
      </c>
      <c r="M6" s="21">
        <v>8002.47</v>
      </c>
      <c r="N6" s="21">
        <v>0</v>
      </c>
      <c r="O6" s="21">
        <v>0.11</v>
      </c>
      <c r="P6" s="3">
        <v>8002.47</v>
      </c>
      <c r="Q6" s="3">
        <v>8002.47</v>
      </c>
      <c r="R6" s="3">
        <v>0</v>
      </c>
      <c r="S6" s="10">
        <v>0.01</v>
      </c>
      <c r="T6" s="3">
        <v>8002.47</v>
      </c>
      <c r="U6" s="3">
        <v>8002.47</v>
      </c>
      <c r="V6" s="3">
        <v>0</v>
      </c>
      <c r="W6" s="10">
        <v>0.03</v>
      </c>
      <c r="X6" s="3">
        <v>8002.47</v>
      </c>
      <c r="Y6" s="3">
        <v>8002.47</v>
      </c>
      <c r="Z6" s="3">
        <v>0</v>
      </c>
      <c r="AA6" s="10">
        <v>0.02</v>
      </c>
    </row>
    <row r="7" spans="1:27">
      <c r="A7" s="109"/>
      <c r="B7" s="100"/>
      <c r="C7" s="102"/>
      <c r="D7" s="21">
        <v>7905.39</v>
      </c>
      <c r="E7" s="21">
        <v>7905.39</v>
      </c>
      <c r="F7" s="21">
        <v>0</v>
      </c>
      <c r="G7" s="21">
        <v>0.09</v>
      </c>
      <c r="H7" s="21">
        <v>7905.39</v>
      </c>
      <c r="I7" s="21">
        <v>7905.39</v>
      </c>
      <c r="J7" s="21">
        <v>0</v>
      </c>
      <c r="K7" s="21">
        <v>7.0000000000000007E-2</v>
      </c>
      <c r="L7" s="21">
        <v>7905.39</v>
      </c>
      <c r="M7" s="21">
        <v>7905.39</v>
      </c>
      <c r="N7" s="21">
        <v>0</v>
      </c>
      <c r="O7" s="21">
        <v>0.09</v>
      </c>
      <c r="P7" s="3">
        <v>7905.39</v>
      </c>
      <c r="Q7" s="3">
        <v>7905.39</v>
      </c>
      <c r="R7" s="3">
        <v>0</v>
      </c>
      <c r="S7" s="3">
        <v>0.05</v>
      </c>
      <c r="T7" s="3">
        <v>7905.39</v>
      </c>
      <c r="U7" s="3">
        <v>7905.39</v>
      </c>
      <c r="V7" s="3">
        <v>0</v>
      </c>
      <c r="W7" s="3">
        <v>0.05</v>
      </c>
      <c r="X7" s="3">
        <v>7905.39</v>
      </c>
      <c r="Y7" s="3">
        <v>7905.39</v>
      </c>
      <c r="Z7" s="3">
        <v>0</v>
      </c>
      <c r="AA7" s="3">
        <v>0.05</v>
      </c>
    </row>
    <row r="8" spans="1:27">
      <c r="A8" s="109"/>
      <c r="B8" s="100"/>
      <c r="C8" s="103"/>
      <c r="D8" s="21">
        <v>8254.69</v>
      </c>
      <c r="E8" s="21">
        <v>8254.69</v>
      </c>
      <c r="F8" s="21">
        <v>0</v>
      </c>
      <c r="G8" s="21">
        <v>0.05</v>
      </c>
      <c r="H8" s="21">
        <v>8254.69</v>
      </c>
      <c r="I8" s="21">
        <v>8254.69</v>
      </c>
      <c r="J8" s="21">
        <v>0</v>
      </c>
      <c r="K8" s="21">
        <v>0.06</v>
      </c>
      <c r="L8" s="21">
        <v>8254.69</v>
      </c>
      <c r="M8" s="21">
        <v>8254.69</v>
      </c>
      <c r="N8" s="21">
        <v>0</v>
      </c>
      <c r="O8" s="21">
        <v>0.08</v>
      </c>
      <c r="P8" s="3">
        <v>8254.69</v>
      </c>
      <c r="Q8" s="3">
        <v>8254.69</v>
      </c>
      <c r="R8" s="3">
        <v>0</v>
      </c>
      <c r="S8" s="3">
        <v>0.02</v>
      </c>
      <c r="T8" s="3">
        <v>8254.69</v>
      </c>
      <c r="U8" s="3">
        <v>8254.69</v>
      </c>
      <c r="V8" s="3">
        <v>0</v>
      </c>
      <c r="W8" s="3">
        <v>0.04</v>
      </c>
      <c r="X8" s="3">
        <v>8254.69</v>
      </c>
      <c r="Y8" s="3">
        <v>8254.69</v>
      </c>
      <c r="Z8" s="3">
        <v>0</v>
      </c>
      <c r="AA8" s="3">
        <v>0.05</v>
      </c>
    </row>
    <row r="9" spans="1:27">
      <c r="A9" s="109"/>
      <c r="B9" s="100"/>
      <c r="C9" s="104">
        <v>3</v>
      </c>
      <c r="D9" s="32">
        <v>3519.7</v>
      </c>
      <c r="E9" s="32">
        <v>3519.7</v>
      </c>
      <c r="F9" s="32">
        <v>0</v>
      </c>
      <c r="G9" s="32">
        <v>0.16</v>
      </c>
      <c r="H9" s="32">
        <v>3519.7</v>
      </c>
      <c r="I9" s="32">
        <v>3519.7</v>
      </c>
      <c r="J9" s="32">
        <v>0</v>
      </c>
      <c r="K9" s="32">
        <v>0.2</v>
      </c>
      <c r="L9" s="32">
        <v>3519.7</v>
      </c>
      <c r="M9" s="32">
        <v>3519.7</v>
      </c>
      <c r="N9" s="32">
        <v>0</v>
      </c>
      <c r="O9" s="32">
        <v>0.2</v>
      </c>
      <c r="P9" s="5">
        <v>3519.7</v>
      </c>
      <c r="Q9" s="5">
        <v>3519.7</v>
      </c>
      <c r="R9" s="5">
        <v>0</v>
      </c>
      <c r="S9" s="5">
        <v>0.04</v>
      </c>
      <c r="T9" s="5">
        <v>3519.7</v>
      </c>
      <c r="U9" s="5">
        <v>3519.7</v>
      </c>
      <c r="V9" s="5">
        <v>0</v>
      </c>
      <c r="W9" s="5">
        <v>0.05</v>
      </c>
      <c r="X9" s="5">
        <v>3519.7</v>
      </c>
      <c r="Y9" s="5">
        <v>3519.7</v>
      </c>
      <c r="Z9" s="5">
        <v>0</v>
      </c>
      <c r="AA9" s="5">
        <v>7.0000000000000007E-2</v>
      </c>
    </row>
    <row r="10" spans="1:27">
      <c r="A10" s="109"/>
      <c r="B10" s="100"/>
      <c r="C10" s="102"/>
      <c r="D10" s="32">
        <v>4639.67</v>
      </c>
      <c r="E10" s="32">
        <v>4639.67</v>
      </c>
      <c r="F10" s="32">
        <v>0</v>
      </c>
      <c r="G10" s="32">
        <v>0.12</v>
      </c>
      <c r="H10" s="32">
        <v>4639.67</v>
      </c>
      <c r="I10" s="32">
        <v>4639.67</v>
      </c>
      <c r="J10" s="32">
        <v>0</v>
      </c>
      <c r="K10" s="32">
        <v>0.15</v>
      </c>
      <c r="L10" s="32">
        <v>4639.67</v>
      </c>
      <c r="M10" s="32">
        <v>4639.67</v>
      </c>
      <c r="N10" s="32">
        <v>0</v>
      </c>
      <c r="O10" s="32">
        <v>0.14000000000000001</v>
      </c>
      <c r="P10" s="5">
        <v>4639.67</v>
      </c>
      <c r="Q10" s="5">
        <v>4639.67</v>
      </c>
      <c r="R10" s="5">
        <v>0</v>
      </c>
      <c r="S10" s="5">
        <v>0.05</v>
      </c>
      <c r="T10" s="5">
        <v>4639.67</v>
      </c>
      <c r="U10" s="5">
        <v>4639.67</v>
      </c>
      <c r="V10" s="5">
        <v>0</v>
      </c>
      <c r="W10" s="5">
        <v>0.02</v>
      </c>
      <c r="X10" s="5">
        <v>4639.67</v>
      </c>
      <c r="Y10" s="5">
        <v>4639.67</v>
      </c>
      <c r="Z10" s="5">
        <v>0</v>
      </c>
      <c r="AA10" s="5">
        <v>0.02</v>
      </c>
    </row>
    <row r="11" spans="1:27">
      <c r="A11" s="109"/>
      <c r="B11" s="100"/>
      <c r="C11" s="102"/>
      <c r="D11" s="32">
        <v>4952.83</v>
      </c>
      <c r="E11" s="32">
        <v>4952.83</v>
      </c>
      <c r="F11" s="32">
        <v>0</v>
      </c>
      <c r="G11" s="32">
        <v>0.14000000000000001</v>
      </c>
      <c r="H11" s="32">
        <v>4952.83</v>
      </c>
      <c r="I11" s="32">
        <v>4952.83</v>
      </c>
      <c r="J11" s="32">
        <v>0</v>
      </c>
      <c r="K11" s="32">
        <v>0.13</v>
      </c>
      <c r="L11" s="32">
        <v>4952.83</v>
      </c>
      <c r="M11" s="32">
        <v>4952.83</v>
      </c>
      <c r="N11" s="32">
        <v>0</v>
      </c>
      <c r="O11" s="32">
        <v>0.16</v>
      </c>
      <c r="P11" s="5">
        <v>4952.83</v>
      </c>
      <c r="Q11" s="5">
        <v>4952.83</v>
      </c>
      <c r="R11" s="5">
        <v>0</v>
      </c>
      <c r="S11" s="5">
        <v>0.01</v>
      </c>
      <c r="T11" s="5">
        <v>4952.83</v>
      </c>
      <c r="U11" s="5">
        <v>4952.83</v>
      </c>
      <c r="V11" s="5">
        <v>0</v>
      </c>
      <c r="W11" s="5">
        <v>0.05</v>
      </c>
      <c r="X11" s="5">
        <v>4952.83</v>
      </c>
      <c r="Y11" s="5">
        <v>4952.83</v>
      </c>
      <c r="Z11" s="5">
        <v>0</v>
      </c>
      <c r="AA11" s="5">
        <v>0.03</v>
      </c>
    </row>
    <row r="12" spans="1:27">
      <c r="A12" s="109"/>
      <c r="B12" s="100"/>
      <c r="C12" s="102"/>
      <c r="D12" s="32">
        <v>11218.49</v>
      </c>
      <c r="E12" s="32">
        <v>11218.49</v>
      </c>
      <c r="F12" s="32">
        <v>0</v>
      </c>
      <c r="G12" s="32">
        <v>0.13</v>
      </c>
      <c r="H12" s="32">
        <v>11218.49</v>
      </c>
      <c r="I12" s="32">
        <v>11218.49</v>
      </c>
      <c r="J12" s="32">
        <v>0</v>
      </c>
      <c r="K12" s="32">
        <v>0.11</v>
      </c>
      <c r="L12" s="32">
        <v>11218.49</v>
      </c>
      <c r="M12" s="32">
        <v>11218.49</v>
      </c>
      <c r="N12" s="32">
        <v>0</v>
      </c>
      <c r="O12" s="32">
        <v>0.2</v>
      </c>
      <c r="P12" s="5">
        <v>11218.49</v>
      </c>
      <c r="Q12" s="5">
        <v>11218.49</v>
      </c>
      <c r="R12" s="5">
        <v>0</v>
      </c>
      <c r="S12" s="5">
        <v>0.01</v>
      </c>
      <c r="T12" s="5">
        <v>11218.49</v>
      </c>
      <c r="U12" s="5">
        <v>11218.49</v>
      </c>
      <c r="V12" s="5">
        <v>0</v>
      </c>
      <c r="W12" s="5">
        <v>0.01</v>
      </c>
      <c r="X12" s="5">
        <v>11218.49</v>
      </c>
      <c r="Y12" s="5">
        <v>11218.49</v>
      </c>
      <c r="Z12" s="5">
        <v>0</v>
      </c>
      <c r="AA12" s="5">
        <v>0.01</v>
      </c>
    </row>
    <row r="13" spans="1:27">
      <c r="A13" s="109"/>
      <c r="B13" s="100"/>
      <c r="C13" s="103"/>
      <c r="D13" s="32">
        <v>7320</v>
      </c>
      <c r="E13" s="32">
        <v>7320</v>
      </c>
      <c r="F13" s="32">
        <v>0</v>
      </c>
      <c r="G13" s="32">
        <v>0.2</v>
      </c>
      <c r="H13" s="32">
        <v>7320</v>
      </c>
      <c r="I13" s="32">
        <v>7320</v>
      </c>
      <c r="J13" s="32">
        <v>0</v>
      </c>
      <c r="K13" s="32">
        <v>0.2</v>
      </c>
      <c r="L13" s="32">
        <v>7320</v>
      </c>
      <c r="M13" s="32">
        <v>7320</v>
      </c>
      <c r="N13" s="32">
        <v>0</v>
      </c>
      <c r="O13" s="32">
        <v>0.33</v>
      </c>
      <c r="P13" s="5">
        <v>7320</v>
      </c>
      <c r="Q13" s="5">
        <v>7320</v>
      </c>
      <c r="R13" s="5">
        <v>0</v>
      </c>
      <c r="S13" s="5">
        <v>0.02</v>
      </c>
      <c r="T13" s="5">
        <v>7320</v>
      </c>
      <c r="U13" s="5">
        <v>7320</v>
      </c>
      <c r="V13" s="5">
        <v>0</v>
      </c>
      <c r="W13" s="5">
        <v>0.02</v>
      </c>
      <c r="X13" s="5">
        <v>7320</v>
      </c>
      <c r="Y13" s="5">
        <v>7320</v>
      </c>
      <c r="Z13" s="5">
        <v>0</v>
      </c>
      <c r="AA13" s="5">
        <v>0.02</v>
      </c>
    </row>
    <row r="14" spans="1:27">
      <c r="A14" s="109"/>
      <c r="B14" s="101"/>
      <c r="C14" s="41"/>
      <c r="D14" s="8">
        <f t="shared" ref="D14:AA14" si="0">AVERAGE(D4:D13)</f>
        <v>8119.2169999999996</v>
      </c>
      <c r="E14" s="8">
        <f t="shared" si="0"/>
        <v>8119.2169999999996</v>
      </c>
      <c r="F14" s="8">
        <f t="shared" si="0"/>
        <v>0</v>
      </c>
      <c r="G14" s="8">
        <f t="shared" si="0"/>
        <v>0.124</v>
      </c>
      <c r="H14" s="8">
        <f t="shared" si="0"/>
        <v>8119.2169999999996</v>
      </c>
      <c r="I14" s="8">
        <f t="shared" si="0"/>
        <v>8119.2169999999996</v>
      </c>
      <c r="J14" s="8">
        <f t="shared" si="0"/>
        <v>0</v>
      </c>
      <c r="K14" s="8">
        <f t="shared" si="0"/>
        <v>0.127</v>
      </c>
      <c r="L14" s="8">
        <f t="shared" si="0"/>
        <v>8119.2169999999996</v>
      </c>
      <c r="M14" s="8">
        <f t="shared" si="0"/>
        <v>8119.2169999999996</v>
      </c>
      <c r="N14" s="8">
        <f t="shared" si="0"/>
        <v>0</v>
      </c>
      <c r="O14" s="8">
        <f t="shared" si="0"/>
        <v>0.159</v>
      </c>
      <c r="P14" s="8">
        <f t="shared" si="0"/>
        <v>8119.2169999999996</v>
      </c>
      <c r="Q14" s="8">
        <f t="shared" si="0"/>
        <v>8119.2169999999996</v>
      </c>
      <c r="R14" s="8">
        <f t="shared" si="0"/>
        <v>0</v>
      </c>
      <c r="S14" s="8">
        <f t="shared" si="0"/>
        <v>2.7000000000000007E-2</v>
      </c>
      <c r="T14" s="8">
        <f t="shared" si="0"/>
        <v>8119.2169999999996</v>
      </c>
      <c r="U14" s="8">
        <f t="shared" si="0"/>
        <v>8119.2169999999996</v>
      </c>
      <c r="V14" s="8">
        <f t="shared" si="0"/>
        <v>0</v>
      </c>
      <c r="W14" s="8">
        <f t="shared" si="0"/>
        <v>3.9000000000000007E-2</v>
      </c>
      <c r="X14" s="8">
        <f t="shared" si="0"/>
        <v>8119.2169999999996</v>
      </c>
      <c r="Y14" s="8">
        <f t="shared" si="0"/>
        <v>8119.2169999999996</v>
      </c>
      <c r="Z14" s="8">
        <f t="shared" si="0"/>
        <v>0</v>
      </c>
      <c r="AA14" s="8">
        <f t="shared" si="0"/>
        <v>3.500000000000001E-2</v>
      </c>
    </row>
    <row r="15" spans="1:27">
      <c r="A15" s="109"/>
      <c r="B15" s="105">
        <v>10</v>
      </c>
      <c r="C15" s="104">
        <v>3</v>
      </c>
      <c r="D15" s="3">
        <v>29400.55</v>
      </c>
      <c r="E15" s="3">
        <v>29400.55</v>
      </c>
      <c r="F15" s="3">
        <v>0</v>
      </c>
      <c r="G15" s="21">
        <v>14.66</v>
      </c>
      <c r="H15" s="3">
        <v>29400.55</v>
      </c>
      <c r="I15" s="3">
        <v>29400.55</v>
      </c>
      <c r="J15" s="3">
        <v>0</v>
      </c>
      <c r="K15" s="21">
        <v>15.42</v>
      </c>
      <c r="L15" s="3">
        <v>29400.55</v>
      </c>
      <c r="M15" s="3">
        <v>29400.55</v>
      </c>
      <c r="N15" s="3">
        <v>0</v>
      </c>
      <c r="O15" s="21">
        <v>11.82</v>
      </c>
      <c r="P15" s="3">
        <v>29400.55</v>
      </c>
      <c r="Q15" s="3">
        <v>29400.55</v>
      </c>
      <c r="R15" s="3">
        <v>0</v>
      </c>
      <c r="S15" s="3">
        <v>0.27</v>
      </c>
      <c r="T15" s="3">
        <v>29400.55</v>
      </c>
      <c r="U15" s="3">
        <v>29400.55</v>
      </c>
      <c r="V15" s="3">
        <v>0</v>
      </c>
      <c r="W15" s="3">
        <v>0.31</v>
      </c>
      <c r="X15" s="3">
        <v>29400.55</v>
      </c>
      <c r="Y15" s="3">
        <v>29400.55</v>
      </c>
      <c r="Z15" s="3">
        <v>0</v>
      </c>
      <c r="AA15" s="3">
        <v>0.41</v>
      </c>
    </row>
    <row r="16" spans="1:27">
      <c r="A16" s="109"/>
      <c r="B16" s="100"/>
      <c r="C16" s="102"/>
      <c r="D16" s="3">
        <v>26849.56</v>
      </c>
      <c r="E16" s="3">
        <v>26849.56</v>
      </c>
      <c r="F16" s="3">
        <v>0</v>
      </c>
      <c r="G16" s="21">
        <v>13.62</v>
      </c>
      <c r="H16" s="3">
        <v>26849.56</v>
      </c>
      <c r="I16" s="3">
        <v>26849.56</v>
      </c>
      <c r="J16" s="3">
        <v>0</v>
      </c>
      <c r="K16" s="21">
        <v>10.19</v>
      </c>
      <c r="L16" s="3">
        <v>26849.56</v>
      </c>
      <c r="M16" s="3">
        <v>26849.56</v>
      </c>
      <c r="N16" s="3">
        <v>0</v>
      </c>
      <c r="O16" s="21">
        <v>14.37</v>
      </c>
      <c r="P16" s="3">
        <v>26849.56</v>
      </c>
      <c r="Q16" s="3">
        <v>26849.56</v>
      </c>
      <c r="R16" s="3">
        <v>0</v>
      </c>
      <c r="S16" s="3">
        <v>0.21</v>
      </c>
      <c r="T16" s="3">
        <v>26849.56</v>
      </c>
      <c r="U16" s="3">
        <v>26849.56</v>
      </c>
      <c r="V16" s="3">
        <v>0</v>
      </c>
      <c r="W16" s="3">
        <v>0.23</v>
      </c>
      <c r="X16" s="3">
        <v>26849.56</v>
      </c>
      <c r="Y16" s="3">
        <v>26849.56</v>
      </c>
      <c r="Z16" s="3">
        <v>0</v>
      </c>
      <c r="AA16" s="3">
        <v>0.27</v>
      </c>
    </row>
    <row r="17" spans="1:27">
      <c r="A17" s="109"/>
      <c r="B17" s="100"/>
      <c r="C17" s="102"/>
      <c r="D17" s="3">
        <v>35931.17</v>
      </c>
      <c r="E17" s="3">
        <v>35931.160000000003</v>
      </c>
      <c r="F17" s="3">
        <v>0</v>
      </c>
      <c r="G17" s="21">
        <v>15.6</v>
      </c>
      <c r="H17" s="3">
        <v>35931.17</v>
      </c>
      <c r="I17" s="3">
        <v>35931.160000000003</v>
      </c>
      <c r="J17" s="3">
        <v>0</v>
      </c>
      <c r="K17" s="21">
        <v>16.760000000000002</v>
      </c>
      <c r="L17" s="3">
        <v>35931.17</v>
      </c>
      <c r="M17" s="3">
        <v>35931.160000000003</v>
      </c>
      <c r="N17" s="3">
        <v>0</v>
      </c>
      <c r="O17" s="21">
        <v>18.55</v>
      </c>
      <c r="P17" s="3">
        <v>35931.17</v>
      </c>
      <c r="Q17" s="3">
        <v>35931.17</v>
      </c>
      <c r="R17" s="3">
        <v>0</v>
      </c>
      <c r="S17" s="3">
        <v>0.23</v>
      </c>
      <c r="T17" s="3">
        <v>35931.17</v>
      </c>
      <c r="U17" s="3">
        <v>35931.17</v>
      </c>
      <c r="V17" s="3">
        <v>0</v>
      </c>
      <c r="W17" s="3">
        <v>0.2</v>
      </c>
      <c r="X17" s="3">
        <v>35931.17</v>
      </c>
      <c r="Y17" s="3">
        <v>35931.17</v>
      </c>
      <c r="Z17" s="3">
        <v>0</v>
      </c>
      <c r="AA17" s="3">
        <v>0.26</v>
      </c>
    </row>
    <row r="18" spans="1:27">
      <c r="A18" s="109"/>
      <c r="B18" s="100"/>
      <c r="C18" s="102"/>
      <c r="D18" s="3">
        <v>45890.71</v>
      </c>
      <c r="E18" s="3">
        <v>45890.71</v>
      </c>
      <c r="F18" s="3">
        <v>0</v>
      </c>
      <c r="G18" s="21">
        <v>21.01</v>
      </c>
      <c r="H18" s="3">
        <v>45890.71</v>
      </c>
      <c r="I18" s="3">
        <v>45890.71</v>
      </c>
      <c r="J18" s="3">
        <v>0</v>
      </c>
      <c r="K18" s="21">
        <v>15.64</v>
      </c>
      <c r="L18" s="3">
        <v>45890.71</v>
      </c>
      <c r="M18" s="3">
        <v>45890.71</v>
      </c>
      <c r="N18" s="3">
        <v>0</v>
      </c>
      <c r="O18" s="21">
        <v>22.71</v>
      </c>
      <c r="P18" s="3">
        <v>45890.71</v>
      </c>
      <c r="Q18" s="3">
        <v>45890.71</v>
      </c>
      <c r="R18" s="3">
        <v>0</v>
      </c>
      <c r="S18" s="3">
        <v>0.19</v>
      </c>
      <c r="T18" s="3">
        <v>45890.71</v>
      </c>
      <c r="U18" s="3">
        <v>45890.71</v>
      </c>
      <c r="V18" s="3">
        <v>0</v>
      </c>
      <c r="W18" s="3">
        <v>0.23</v>
      </c>
      <c r="X18" s="3">
        <v>45890.71</v>
      </c>
      <c r="Y18" s="3">
        <v>45890.71</v>
      </c>
      <c r="Z18" s="3">
        <v>0</v>
      </c>
      <c r="AA18" s="3">
        <v>0.24</v>
      </c>
    </row>
    <row r="19" spans="1:27">
      <c r="A19" s="109"/>
      <c r="B19" s="100"/>
      <c r="C19" s="103"/>
      <c r="D19" s="3">
        <v>24457.73</v>
      </c>
      <c r="E19" s="3">
        <v>24457.73</v>
      </c>
      <c r="F19" s="3">
        <v>0</v>
      </c>
      <c r="G19" s="21">
        <v>13.43</v>
      </c>
      <c r="H19" s="3">
        <v>24457.73</v>
      </c>
      <c r="I19" s="3">
        <v>24457.73</v>
      </c>
      <c r="J19" s="3">
        <v>0</v>
      </c>
      <c r="K19" s="21">
        <v>16.239999999999998</v>
      </c>
      <c r="L19" s="3">
        <v>24457.73</v>
      </c>
      <c r="M19" s="3">
        <v>24457.73</v>
      </c>
      <c r="N19" s="3">
        <v>0</v>
      </c>
      <c r="O19" s="21">
        <v>10.78</v>
      </c>
      <c r="P19" s="3">
        <v>24457.73</v>
      </c>
      <c r="Q19" s="3">
        <v>24457.73</v>
      </c>
      <c r="R19" s="3">
        <v>0</v>
      </c>
      <c r="S19" s="3">
        <v>0.17</v>
      </c>
      <c r="T19" s="3">
        <v>24457.73</v>
      </c>
      <c r="U19" s="3">
        <v>24457.73</v>
      </c>
      <c r="V19" s="3">
        <v>0</v>
      </c>
      <c r="W19" s="3">
        <v>0.17</v>
      </c>
      <c r="X19" s="3">
        <v>24457.73</v>
      </c>
      <c r="Y19" s="3">
        <v>24457.73</v>
      </c>
      <c r="Z19" s="3">
        <v>0</v>
      </c>
      <c r="AA19" s="3">
        <v>0.25</v>
      </c>
    </row>
    <row r="20" spans="1:27">
      <c r="A20" s="109"/>
      <c r="B20" s="100"/>
      <c r="C20" s="104">
        <v>4</v>
      </c>
      <c r="D20" s="32">
        <v>10237.34</v>
      </c>
      <c r="E20" s="32">
        <v>10237.34</v>
      </c>
      <c r="F20" s="32">
        <v>0</v>
      </c>
      <c r="G20" s="32">
        <v>12.06</v>
      </c>
      <c r="H20" s="32">
        <v>10237.34</v>
      </c>
      <c r="I20" s="32">
        <v>10237.34</v>
      </c>
      <c r="J20" s="32">
        <v>0</v>
      </c>
      <c r="K20" s="32">
        <v>13.33</v>
      </c>
      <c r="L20" s="32">
        <v>10237.34</v>
      </c>
      <c r="M20" s="32">
        <v>10237.34</v>
      </c>
      <c r="N20" s="32">
        <v>0</v>
      </c>
      <c r="O20" s="32">
        <v>11.92</v>
      </c>
      <c r="P20" s="5">
        <v>10237.34</v>
      </c>
      <c r="Q20" s="5">
        <v>10237.34</v>
      </c>
      <c r="R20" s="5">
        <v>0</v>
      </c>
      <c r="S20" s="5">
        <v>0.63</v>
      </c>
      <c r="T20" s="5">
        <v>10237.34</v>
      </c>
      <c r="U20" s="5">
        <v>10237.34</v>
      </c>
      <c r="V20" s="5">
        <v>0</v>
      </c>
      <c r="W20" s="5">
        <v>0.23</v>
      </c>
      <c r="X20" s="5">
        <v>10237.34</v>
      </c>
      <c r="Y20" s="5">
        <v>10237.34</v>
      </c>
      <c r="Z20" s="5">
        <v>0</v>
      </c>
      <c r="AA20" s="5">
        <v>0.32</v>
      </c>
    </row>
    <row r="21" spans="1:27">
      <c r="A21" s="109"/>
      <c r="B21" s="100"/>
      <c r="C21" s="102"/>
      <c r="D21" s="32">
        <v>14838.71</v>
      </c>
      <c r="E21" s="32">
        <v>14838.71</v>
      </c>
      <c r="F21" s="32">
        <v>0</v>
      </c>
      <c r="G21" s="32">
        <v>16.52</v>
      </c>
      <c r="H21" s="32">
        <v>14838.71</v>
      </c>
      <c r="I21" s="32">
        <v>14838.71</v>
      </c>
      <c r="J21" s="32">
        <v>0</v>
      </c>
      <c r="K21" s="32">
        <v>13.94</v>
      </c>
      <c r="L21" s="32">
        <v>14838.71</v>
      </c>
      <c r="M21" s="32">
        <v>14838.71</v>
      </c>
      <c r="N21" s="32">
        <v>0</v>
      </c>
      <c r="O21" s="32">
        <v>17.87</v>
      </c>
      <c r="P21" s="5">
        <v>14838.71</v>
      </c>
      <c r="Q21" s="5">
        <v>14838.71</v>
      </c>
      <c r="R21" s="5">
        <v>0</v>
      </c>
      <c r="S21" s="45">
        <v>0.27</v>
      </c>
      <c r="T21" s="5">
        <v>14838.71</v>
      </c>
      <c r="U21" s="5">
        <v>14838.71</v>
      </c>
      <c r="V21" s="5">
        <v>0</v>
      </c>
      <c r="W21" s="5">
        <v>0.28999999999999998</v>
      </c>
      <c r="X21" s="5">
        <v>14838.71</v>
      </c>
      <c r="Y21" s="5">
        <v>14838.71</v>
      </c>
      <c r="Z21" s="5">
        <v>0</v>
      </c>
      <c r="AA21" s="5">
        <v>0.49</v>
      </c>
    </row>
    <row r="22" spans="1:27">
      <c r="A22" s="109"/>
      <c r="B22" s="100"/>
      <c r="C22" s="102"/>
      <c r="D22" s="32">
        <v>20464.03</v>
      </c>
      <c r="E22" s="32">
        <v>20464.03</v>
      </c>
      <c r="F22" s="32">
        <v>0</v>
      </c>
      <c r="G22" s="32">
        <v>13.21</v>
      </c>
      <c r="H22" s="32">
        <v>20464.03</v>
      </c>
      <c r="I22" s="32">
        <v>20464.03</v>
      </c>
      <c r="J22" s="32">
        <v>0</v>
      </c>
      <c r="K22" s="32">
        <v>10.16</v>
      </c>
      <c r="L22" s="32">
        <v>20464.03</v>
      </c>
      <c r="M22" s="32">
        <v>20464.03</v>
      </c>
      <c r="N22" s="32">
        <v>0</v>
      </c>
      <c r="O22" s="32">
        <v>15.72</v>
      </c>
      <c r="P22" s="5">
        <v>20464.03</v>
      </c>
      <c r="Q22" s="5">
        <v>20464.03</v>
      </c>
      <c r="R22" s="5">
        <v>0</v>
      </c>
      <c r="S22" s="5">
        <v>0.24</v>
      </c>
      <c r="T22" s="5">
        <v>20464.03</v>
      </c>
      <c r="U22" s="5">
        <v>20464.03</v>
      </c>
      <c r="V22" s="5">
        <v>0</v>
      </c>
      <c r="W22" s="5">
        <v>0.27</v>
      </c>
      <c r="X22" s="5">
        <v>20464.03</v>
      </c>
      <c r="Y22" s="5">
        <v>20464.03</v>
      </c>
      <c r="Z22" s="5">
        <v>0</v>
      </c>
      <c r="AA22" s="5">
        <v>0.45</v>
      </c>
    </row>
    <row r="23" spans="1:27">
      <c r="A23" s="109"/>
      <c r="B23" s="100"/>
      <c r="C23" s="102"/>
      <c r="D23" s="32">
        <v>17350.88</v>
      </c>
      <c r="E23" s="32">
        <v>17350.88</v>
      </c>
      <c r="F23" s="32">
        <v>0</v>
      </c>
      <c r="G23" s="32">
        <v>13.16</v>
      </c>
      <c r="H23" s="32">
        <v>17350.88</v>
      </c>
      <c r="I23" s="32">
        <v>17350.88</v>
      </c>
      <c r="J23" s="32">
        <v>0</v>
      </c>
      <c r="K23" s="32">
        <v>12.19</v>
      </c>
      <c r="L23" s="32">
        <v>17350.88</v>
      </c>
      <c r="M23" s="32">
        <v>17350.88</v>
      </c>
      <c r="N23" s="32">
        <v>0</v>
      </c>
      <c r="O23" s="32">
        <v>16.04</v>
      </c>
      <c r="P23" s="5">
        <v>17350.88</v>
      </c>
      <c r="Q23" s="5">
        <v>17350.88</v>
      </c>
      <c r="R23" s="5">
        <v>0</v>
      </c>
      <c r="S23" s="5">
        <v>0.25</v>
      </c>
      <c r="T23" s="5">
        <v>17350.88</v>
      </c>
      <c r="U23" s="5">
        <v>17350.88</v>
      </c>
      <c r="V23" s="5">
        <v>0</v>
      </c>
      <c r="W23" s="5">
        <v>0.28000000000000003</v>
      </c>
      <c r="X23" s="5">
        <v>17350.88</v>
      </c>
      <c r="Y23" s="5">
        <v>17350.88</v>
      </c>
      <c r="Z23" s="5">
        <v>0</v>
      </c>
      <c r="AA23" s="5">
        <v>0.35</v>
      </c>
    </row>
    <row r="24" spans="1:27">
      <c r="A24" s="109"/>
      <c r="B24" s="100"/>
      <c r="C24" s="103"/>
      <c r="D24" s="32">
        <v>17429.439999999999</v>
      </c>
      <c r="E24" s="32">
        <v>17429.439999999999</v>
      </c>
      <c r="F24" s="32">
        <v>0</v>
      </c>
      <c r="G24" s="32">
        <v>15.28</v>
      </c>
      <c r="H24" s="32">
        <v>17429.439999999999</v>
      </c>
      <c r="I24" s="32">
        <v>17429.439999999999</v>
      </c>
      <c r="J24" s="32">
        <v>0</v>
      </c>
      <c r="K24" s="32">
        <v>14.26</v>
      </c>
      <c r="L24" s="32">
        <v>17429.439999999999</v>
      </c>
      <c r="M24" s="32">
        <v>17429.439999999999</v>
      </c>
      <c r="N24" s="32">
        <v>0</v>
      </c>
      <c r="O24" s="32">
        <v>15.04</v>
      </c>
      <c r="P24" s="5">
        <v>17429.439999999999</v>
      </c>
      <c r="Q24" s="5">
        <v>17429.439999999999</v>
      </c>
      <c r="R24" s="5">
        <v>0</v>
      </c>
      <c r="S24" s="5">
        <v>0.83</v>
      </c>
      <c r="T24" s="5">
        <v>17429.439999999999</v>
      </c>
      <c r="U24" s="5">
        <v>17429.439999999999</v>
      </c>
      <c r="V24" s="5">
        <v>0</v>
      </c>
      <c r="W24" s="5">
        <v>0.27</v>
      </c>
      <c r="X24" s="5">
        <v>17429.439999999999</v>
      </c>
      <c r="Y24" s="5">
        <v>17429.439999999999</v>
      </c>
      <c r="Z24" s="5">
        <v>0</v>
      </c>
      <c r="AA24" s="5">
        <v>0.34</v>
      </c>
    </row>
    <row r="25" spans="1:27">
      <c r="A25" s="109"/>
      <c r="B25" s="100"/>
      <c r="C25" s="41"/>
      <c r="D25" s="38">
        <f t="shared" ref="D25:AA25" si="1">AVERAGE(D15:D24)</f>
        <v>24285.011999999999</v>
      </c>
      <c r="E25" s="38">
        <f t="shared" si="1"/>
        <v>24285.011000000002</v>
      </c>
      <c r="F25" s="38">
        <f t="shared" si="1"/>
        <v>0</v>
      </c>
      <c r="G25" s="38">
        <f t="shared" si="1"/>
        <v>14.854999999999999</v>
      </c>
      <c r="H25" s="38">
        <f t="shared" si="1"/>
        <v>24285.011999999999</v>
      </c>
      <c r="I25" s="38">
        <f t="shared" si="1"/>
        <v>24285.011000000002</v>
      </c>
      <c r="J25" s="38">
        <f t="shared" si="1"/>
        <v>0</v>
      </c>
      <c r="K25" s="38">
        <f t="shared" si="1"/>
        <v>13.812999999999999</v>
      </c>
      <c r="L25" s="38">
        <f t="shared" si="1"/>
        <v>24285.011999999999</v>
      </c>
      <c r="M25" s="38">
        <f t="shared" si="1"/>
        <v>24285.011000000002</v>
      </c>
      <c r="N25" s="38">
        <f t="shared" si="1"/>
        <v>0</v>
      </c>
      <c r="O25" s="38">
        <f t="shared" si="1"/>
        <v>15.481999999999999</v>
      </c>
      <c r="P25" s="37">
        <f t="shared" si="1"/>
        <v>24285.011999999999</v>
      </c>
      <c r="Q25" s="37">
        <f t="shared" si="1"/>
        <v>24285.011999999999</v>
      </c>
      <c r="R25" s="37">
        <f t="shared" si="1"/>
        <v>0</v>
      </c>
      <c r="S25" s="37">
        <f t="shared" si="1"/>
        <v>0.32900000000000001</v>
      </c>
      <c r="T25" s="37">
        <f t="shared" si="1"/>
        <v>24285.011999999999</v>
      </c>
      <c r="U25" s="37">
        <f t="shared" si="1"/>
        <v>24285.011999999999</v>
      </c>
      <c r="V25" s="37">
        <f t="shared" si="1"/>
        <v>0</v>
      </c>
      <c r="W25" s="37">
        <f t="shared" si="1"/>
        <v>0.248</v>
      </c>
      <c r="X25" s="37">
        <f t="shared" si="1"/>
        <v>24285.011999999999</v>
      </c>
      <c r="Y25" s="37">
        <f t="shared" si="1"/>
        <v>24285.011999999999</v>
      </c>
      <c r="Z25" s="37">
        <f t="shared" si="1"/>
        <v>0</v>
      </c>
      <c r="AA25" s="37">
        <f t="shared" si="1"/>
        <v>0.33800000000000002</v>
      </c>
    </row>
    <row r="26" spans="1:27">
      <c r="A26" s="109"/>
      <c r="B26" s="106">
        <v>15</v>
      </c>
      <c r="C26" s="107">
        <v>3</v>
      </c>
      <c r="D26" s="3">
        <v>87104.13</v>
      </c>
      <c r="E26" s="3">
        <v>87104.13</v>
      </c>
      <c r="F26" s="3">
        <v>0</v>
      </c>
      <c r="G26" s="21">
        <v>1807.1</v>
      </c>
      <c r="H26" s="3">
        <v>87104.13</v>
      </c>
      <c r="I26" s="3">
        <v>87104.13</v>
      </c>
      <c r="J26" s="3">
        <v>0</v>
      </c>
      <c r="K26" s="21">
        <v>2156.13</v>
      </c>
      <c r="L26" s="3">
        <v>87104.13</v>
      </c>
      <c r="M26" s="3">
        <v>87104.13</v>
      </c>
      <c r="N26" s="3">
        <v>0</v>
      </c>
      <c r="O26" s="3">
        <v>2475.7600000000002</v>
      </c>
      <c r="P26" s="3">
        <v>87104.13</v>
      </c>
      <c r="Q26" s="3">
        <v>87104.13</v>
      </c>
      <c r="R26" s="3">
        <v>0</v>
      </c>
      <c r="S26" s="3">
        <v>49.32</v>
      </c>
      <c r="T26" s="3">
        <v>87104.13</v>
      </c>
      <c r="U26" s="3">
        <v>87104.13</v>
      </c>
      <c r="V26" s="3">
        <v>0</v>
      </c>
      <c r="W26" s="3">
        <v>67.209999999999994</v>
      </c>
      <c r="X26" s="3">
        <v>87104.13</v>
      </c>
      <c r="Y26" s="3">
        <v>87104.13</v>
      </c>
      <c r="Z26" s="3">
        <v>0</v>
      </c>
      <c r="AA26" s="3">
        <v>121.02</v>
      </c>
    </row>
    <row r="27" spans="1:27">
      <c r="A27" s="109"/>
      <c r="B27" s="106"/>
      <c r="C27" s="107"/>
      <c r="D27" s="3">
        <v>43628.54</v>
      </c>
      <c r="E27" s="3">
        <v>43628.54</v>
      </c>
      <c r="F27" s="3">
        <v>0</v>
      </c>
      <c r="G27" s="21">
        <v>2243.12</v>
      </c>
      <c r="H27" s="3">
        <v>43628.54</v>
      </c>
      <c r="I27" s="3">
        <v>43628.54</v>
      </c>
      <c r="J27" s="3">
        <v>0</v>
      </c>
      <c r="K27" s="21">
        <v>2342.52</v>
      </c>
      <c r="L27" s="3">
        <v>43628.54</v>
      </c>
      <c r="M27" s="3">
        <v>43628.54</v>
      </c>
      <c r="N27" s="3">
        <v>0</v>
      </c>
      <c r="O27" s="21">
        <v>2979.16</v>
      </c>
      <c r="P27" s="3">
        <v>43628.54</v>
      </c>
      <c r="Q27" s="3">
        <v>43628.54</v>
      </c>
      <c r="R27" s="3">
        <v>0</v>
      </c>
      <c r="S27" s="3">
        <v>39.35</v>
      </c>
      <c r="T27" s="3">
        <v>43628.54</v>
      </c>
      <c r="U27" s="3">
        <v>43628.54</v>
      </c>
      <c r="V27" s="3">
        <v>0</v>
      </c>
      <c r="W27" s="3">
        <v>72.34</v>
      </c>
      <c r="X27" s="3">
        <v>43628.54</v>
      </c>
      <c r="Y27" s="3">
        <v>43628.54</v>
      </c>
      <c r="Z27" s="3">
        <v>0</v>
      </c>
      <c r="AA27" s="3">
        <v>154.84</v>
      </c>
    </row>
    <row r="28" spans="1:27">
      <c r="A28" s="109"/>
      <c r="B28" s="106"/>
      <c r="C28" s="107"/>
      <c r="D28" s="21">
        <v>145195.22</v>
      </c>
      <c r="E28" s="21">
        <v>145195.22</v>
      </c>
      <c r="F28" s="3">
        <v>0</v>
      </c>
      <c r="G28" s="21">
        <v>2303.08</v>
      </c>
      <c r="H28" s="21">
        <v>145195.22</v>
      </c>
      <c r="I28" s="21">
        <v>145195.22</v>
      </c>
      <c r="J28" s="3">
        <v>0</v>
      </c>
      <c r="K28" s="21">
        <v>2495.8200000000002</v>
      </c>
      <c r="L28" s="21">
        <v>145195.22</v>
      </c>
      <c r="M28" s="21">
        <v>145195.22</v>
      </c>
      <c r="N28" s="3">
        <v>0</v>
      </c>
      <c r="O28" s="21">
        <v>3194.84</v>
      </c>
      <c r="P28" s="21">
        <v>145195.22</v>
      </c>
      <c r="Q28" s="21">
        <v>145195.22</v>
      </c>
      <c r="R28" s="3">
        <v>0</v>
      </c>
      <c r="S28" s="3">
        <v>56.95</v>
      </c>
      <c r="T28" s="21">
        <v>145195.22</v>
      </c>
      <c r="U28" s="21">
        <v>145195.22</v>
      </c>
      <c r="V28" s="3">
        <v>0</v>
      </c>
      <c r="W28" s="3">
        <v>154.4</v>
      </c>
      <c r="X28" s="21">
        <v>145195.22</v>
      </c>
      <c r="Y28" s="21">
        <v>145195.22</v>
      </c>
      <c r="Z28" s="3">
        <v>0</v>
      </c>
      <c r="AA28" s="3">
        <v>324.95999999999998</v>
      </c>
    </row>
    <row r="29" spans="1:27">
      <c r="A29" s="109"/>
      <c r="B29" s="106"/>
      <c r="C29" s="107"/>
      <c r="D29" s="3">
        <v>55412.52</v>
      </c>
      <c r="E29" s="3">
        <v>55412.52</v>
      </c>
      <c r="F29" s="3">
        <v>0</v>
      </c>
      <c r="G29" s="21">
        <v>2374.23</v>
      </c>
      <c r="H29" s="3">
        <v>55412.52</v>
      </c>
      <c r="I29" s="3">
        <v>55412.52</v>
      </c>
      <c r="J29" s="3">
        <v>0</v>
      </c>
      <c r="K29" s="21">
        <v>2463.09</v>
      </c>
      <c r="L29" s="3">
        <v>55412.52</v>
      </c>
      <c r="M29" s="3">
        <v>55412.52</v>
      </c>
      <c r="N29" s="3">
        <v>0</v>
      </c>
      <c r="O29" s="21">
        <v>2914.27</v>
      </c>
      <c r="P29" s="3">
        <v>55412.52</v>
      </c>
      <c r="Q29" s="3">
        <v>55412.52</v>
      </c>
      <c r="R29" s="3">
        <v>0</v>
      </c>
      <c r="S29" s="3">
        <v>50.27</v>
      </c>
      <c r="T29" s="3">
        <v>55412.52</v>
      </c>
      <c r="U29" s="3">
        <v>55412.52</v>
      </c>
      <c r="V29" s="3">
        <v>0</v>
      </c>
      <c r="W29" s="3">
        <v>92.11</v>
      </c>
      <c r="X29" s="3">
        <v>55412.52</v>
      </c>
      <c r="Y29" s="3">
        <v>55412.52</v>
      </c>
      <c r="Z29" s="3">
        <v>0</v>
      </c>
      <c r="AA29" s="3">
        <v>183.4</v>
      </c>
    </row>
    <row r="30" spans="1:27">
      <c r="A30" s="109"/>
      <c r="B30" s="106"/>
      <c r="C30" s="107"/>
      <c r="D30" s="3">
        <v>55121.83</v>
      </c>
      <c r="E30" s="3">
        <v>55121.83</v>
      </c>
      <c r="F30" s="3">
        <v>0</v>
      </c>
      <c r="G30" s="21">
        <v>2668.06</v>
      </c>
      <c r="H30" s="3">
        <v>55121.83</v>
      </c>
      <c r="I30" s="3">
        <v>55121.83</v>
      </c>
      <c r="J30" s="3">
        <v>0</v>
      </c>
      <c r="K30" s="21">
        <v>3064.68</v>
      </c>
      <c r="L30" s="3">
        <v>55121.83</v>
      </c>
      <c r="M30" s="3">
        <v>55121.83</v>
      </c>
      <c r="N30" s="3">
        <v>0</v>
      </c>
      <c r="O30" s="21">
        <v>3399.31</v>
      </c>
      <c r="P30" s="3">
        <v>55121.83</v>
      </c>
      <c r="Q30" s="3">
        <v>55121.83</v>
      </c>
      <c r="R30" s="3">
        <v>0</v>
      </c>
      <c r="S30" s="3">
        <v>50.91</v>
      </c>
      <c r="T30" s="3">
        <v>55121.83</v>
      </c>
      <c r="U30" s="3">
        <v>55121.83</v>
      </c>
      <c r="V30" s="3">
        <v>0</v>
      </c>
      <c r="W30" s="3">
        <v>107.53</v>
      </c>
      <c r="X30" s="3">
        <v>55121.83</v>
      </c>
      <c r="Y30" s="3">
        <v>55121.83</v>
      </c>
      <c r="Z30" s="3">
        <v>0</v>
      </c>
      <c r="AA30" s="3">
        <v>225</v>
      </c>
    </row>
    <row r="31" spans="1:27">
      <c r="A31" s="109"/>
      <c r="B31" s="106"/>
      <c r="C31" s="107">
        <v>4</v>
      </c>
      <c r="D31" s="32">
        <v>28637.82</v>
      </c>
      <c r="E31" s="32">
        <v>27604.77</v>
      </c>
      <c r="F31" s="32">
        <v>3.61</v>
      </c>
      <c r="G31" s="32">
        <v>3600.27</v>
      </c>
      <c r="H31" s="32">
        <v>28671.02</v>
      </c>
      <c r="I31" s="32">
        <v>27248.73</v>
      </c>
      <c r="J31" s="32">
        <v>4.96</v>
      </c>
      <c r="K31" s="32">
        <v>3600.41</v>
      </c>
      <c r="L31" s="32">
        <v>28670.75</v>
      </c>
      <c r="M31" s="32">
        <v>26685.03</v>
      </c>
      <c r="N31" s="32">
        <v>6.93</v>
      </c>
      <c r="O31" s="32">
        <v>3600.02</v>
      </c>
      <c r="P31" s="5">
        <v>28637.82</v>
      </c>
      <c r="Q31" s="5">
        <v>28637.82</v>
      </c>
      <c r="R31" s="5">
        <v>0</v>
      </c>
      <c r="S31" s="5">
        <v>184.43</v>
      </c>
      <c r="T31" s="5">
        <v>28637.82</v>
      </c>
      <c r="U31" s="5">
        <v>28637.82</v>
      </c>
      <c r="V31" s="5">
        <v>0</v>
      </c>
      <c r="W31" s="5">
        <v>202.63</v>
      </c>
      <c r="X31" s="5">
        <v>28637.82</v>
      </c>
      <c r="Y31" s="5">
        <v>28637.82</v>
      </c>
      <c r="Z31" s="5">
        <v>0</v>
      </c>
      <c r="AA31" s="5">
        <v>360.92</v>
      </c>
    </row>
    <row r="32" spans="1:27">
      <c r="A32" s="109"/>
      <c r="B32" s="106"/>
      <c r="C32" s="107"/>
      <c r="D32" s="32">
        <v>57612.6</v>
      </c>
      <c r="E32" s="32">
        <v>57612.6</v>
      </c>
      <c r="F32" s="32">
        <v>0</v>
      </c>
      <c r="G32" s="32">
        <v>3593.84</v>
      </c>
      <c r="H32" s="32">
        <v>57612.6</v>
      </c>
      <c r="I32" s="32">
        <v>55872.59</v>
      </c>
      <c r="J32" s="32">
        <v>3.02</v>
      </c>
      <c r="K32" s="32">
        <v>3600.02</v>
      </c>
      <c r="L32" s="32">
        <v>57612.6</v>
      </c>
      <c r="M32" s="32">
        <v>54036.26</v>
      </c>
      <c r="N32" s="32">
        <v>6.21</v>
      </c>
      <c r="O32" s="32">
        <v>3600.09</v>
      </c>
      <c r="P32" s="5">
        <v>57612.6</v>
      </c>
      <c r="Q32" s="5">
        <v>57612.6</v>
      </c>
      <c r="R32" s="5">
        <v>0</v>
      </c>
      <c r="S32" s="5">
        <v>85.25</v>
      </c>
      <c r="T32" s="5">
        <v>57612.6</v>
      </c>
      <c r="U32" s="5">
        <v>57612.6</v>
      </c>
      <c r="V32" s="5">
        <v>0</v>
      </c>
      <c r="W32" s="5">
        <v>147.16999999999999</v>
      </c>
      <c r="X32" s="5">
        <v>57612.6</v>
      </c>
      <c r="Y32" s="5">
        <v>57612.6</v>
      </c>
      <c r="Z32" s="5">
        <v>0</v>
      </c>
      <c r="AA32" s="5">
        <v>260.51</v>
      </c>
    </row>
    <row r="33" spans="1:27">
      <c r="A33" s="109"/>
      <c r="B33" s="106"/>
      <c r="C33" s="107"/>
      <c r="D33" s="32">
        <v>54851.3</v>
      </c>
      <c r="E33" s="32">
        <v>54851.3</v>
      </c>
      <c r="F33" s="32">
        <v>0</v>
      </c>
      <c r="G33" s="32">
        <v>2661.84</v>
      </c>
      <c r="H33" s="32">
        <v>54851.3</v>
      </c>
      <c r="I33" s="32">
        <v>54453.94</v>
      </c>
      <c r="J33" s="32">
        <v>0.72</v>
      </c>
      <c r="K33" s="32">
        <v>3600.03</v>
      </c>
      <c r="L33" s="32">
        <v>54851.3</v>
      </c>
      <c r="M33" s="32">
        <v>53420.18</v>
      </c>
      <c r="N33" s="32">
        <v>2.61</v>
      </c>
      <c r="O33" s="32">
        <v>3600.04</v>
      </c>
      <c r="P33" s="5">
        <v>54851.3</v>
      </c>
      <c r="Q33" s="5">
        <v>54851.3</v>
      </c>
      <c r="R33" s="5">
        <v>0</v>
      </c>
      <c r="S33" s="5">
        <v>60.72</v>
      </c>
      <c r="T33" s="5">
        <v>54851.3</v>
      </c>
      <c r="U33" s="5">
        <v>54851.3</v>
      </c>
      <c r="V33" s="5">
        <v>0</v>
      </c>
      <c r="W33" s="5">
        <v>80.67</v>
      </c>
      <c r="X33" s="5">
        <v>54851.3</v>
      </c>
      <c r="Y33" s="5">
        <v>54851.3</v>
      </c>
      <c r="Z33" s="5">
        <v>0</v>
      </c>
      <c r="AA33" s="5">
        <v>209.25</v>
      </c>
    </row>
    <row r="34" spans="1:27">
      <c r="A34" s="109"/>
      <c r="B34" s="106"/>
      <c r="C34" s="107"/>
      <c r="D34" s="32">
        <v>82238.91</v>
      </c>
      <c r="E34" s="32">
        <v>82238.91</v>
      </c>
      <c r="F34" s="32">
        <v>0</v>
      </c>
      <c r="G34" s="32">
        <v>1661.9</v>
      </c>
      <c r="H34" s="32">
        <v>82238.91</v>
      </c>
      <c r="I34" s="32">
        <v>82238.91</v>
      </c>
      <c r="J34" s="32">
        <v>0</v>
      </c>
      <c r="K34" s="32">
        <v>3198.42</v>
      </c>
      <c r="L34" s="32">
        <v>82238.91</v>
      </c>
      <c r="M34" s="32">
        <v>82107.78</v>
      </c>
      <c r="N34" s="32">
        <v>0.16</v>
      </c>
      <c r="O34" s="32">
        <v>3600.05</v>
      </c>
      <c r="P34" s="5">
        <v>82238.91</v>
      </c>
      <c r="Q34" s="5">
        <v>82238.91</v>
      </c>
      <c r="R34" s="5">
        <v>0</v>
      </c>
      <c r="S34" s="5">
        <v>51</v>
      </c>
      <c r="T34" s="5">
        <v>82238.91</v>
      </c>
      <c r="U34" s="5">
        <v>82238.91</v>
      </c>
      <c r="V34" s="5">
        <v>0</v>
      </c>
      <c r="W34" s="5">
        <v>69.73</v>
      </c>
      <c r="X34" s="5">
        <v>82238.91</v>
      </c>
      <c r="Y34" s="5">
        <v>82238.91</v>
      </c>
      <c r="Z34" s="5">
        <v>0</v>
      </c>
      <c r="AA34" s="5">
        <v>127.36</v>
      </c>
    </row>
    <row r="35" spans="1:27">
      <c r="A35" s="109"/>
      <c r="B35" s="106"/>
      <c r="C35" s="107"/>
      <c r="D35" s="32">
        <v>34169.31</v>
      </c>
      <c r="E35" s="32">
        <v>33568.230000000003</v>
      </c>
      <c r="F35" s="32">
        <v>1.76</v>
      </c>
      <c r="G35" s="32">
        <v>3600.03</v>
      </c>
      <c r="H35" s="32">
        <v>34169.31</v>
      </c>
      <c r="I35" s="32">
        <v>33194.699999999997</v>
      </c>
      <c r="J35" s="32">
        <v>2.85</v>
      </c>
      <c r="K35" s="32">
        <v>3600.22</v>
      </c>
      <c r="L35" s="32">
        <v>34169.31</v>
      </c>
      <c r="M35" s="32">
        <v>32065.98</v>
      </c>
      <c r="N35" s="32">
        <v>6.16</v>
      </c>
      <c r="O35" s="32">
        <v>3600.03</v>
      </c>
      <c r="P35" s="5">
        <v>34169.31</v>
      </c>
      <c r="Q35" s="5">
        <v>34169.31</v>
      </c>
      <c r="R35" s="5">
        <v>0</v>
      </c>
      <c r="S35" s="5">
        <v>122.64</v>
      </c>
      <c r="T35" s="5">
        <v>34169.31</v>
      </c>
      <c r="U35" s="5">
        <v>34169.31</v>
      </c>
      <c r="V35" s="5">
        <v>0</v>
      </c>
      <c r="W35" s="5">
        <v>114.13</v>
      </c>
      <c r="X35" s="5">
        <v>34169.31</v>
      </c>
      <c r="Y35" s="5">
        <v>34169.31</v>
      </c>
      <c r="Z35" s="5">
        <v>0</v>
      </c>
      <c r="AA35" s="5">
        <v>254.68</v>
      </c>
    </row>
    <row r="36" spans="1:27">
      <c r="A36" s="109"/>
      <c r="B36" s="106"/>
      <c r="C36" s="42"/>
      <c r="D36" s="33">
        <f t="shared" ref="D36:AA36" si="2">AVERAGE(D26:D35)</f>
        <v>64397.218000000015</v>
      </c>
      <c r="E36" s="33">
        <f t="shared" si="2"/>
        <v>64233.805000000008</v>
      </c>
      <c r="F36" s="33">
        <f t="shared" si="2"/>
        <v>0.53700000000000003</v>
      </c>
      <c r="G36" s="33">
        <f t="shared" si="2"/>
        <v>2651.3469999999998</v>
      </c>
      <c r="H36" s="33">
        <f t="shared" si="2"/>
        <v>64400.538000000015</v>
      </c>
      <c r="I36" s="33">
        <f t="shared" si="2"/>
        <v>63947.110999999997</v>
      </c>
      <c r="J36" s="33">
        <f t="shared" si="2"/>
        <v>1.155</v>
      </c>
      <c r="K36" s="33">
        <f t="shared" si="2"/>
        <v>3012.1339999999996</v>
      </c>
      <c r="L36" s="33">
        <f>AVERAGE(L26:L35)</f>
        <v>64400.511000000013</v>
      </c>
      <c r="M36" s="33">
        <f>AVERAGE(M26:M35)</f>
        <v>63477.746999999996</v>
      </c>
      <c r="N36" s="33">
        <f>AVERAGE(N26:N35)</f>
        <v>2.2069999999999999</v>
      </c>
      <c r="O36" s="33">
        <f>AVERAGE(O26:O35)</f>
        <v>3296.357</v>
      </c>
      <c r="P36" s="8">
        <f t="shared" si="2"/>
        <v>64397.218000000015</v>
      </c>
      <c r="Q36" s="8">
        <f t="shared" si="2"/>
        <v>64397.218000000015</v>
      </c>
      <c r="R36" s="8">
        <f t="shared" si="2"/>
        <v>0</v>
      </c>
      <c r="S36" s="8">
        <f t="shared" si="2"/>
        <v>75.084000000000003</v>
      </c>
      <c r="T36" s="8">
        <f t="shared" si="2"/>
        <v>64397.218000000015</v>
      </c>
      <c r="U36" s="8">
        <f t="shared" si="2"/>
        <v>64397.218000000015</v>
      </c>
      <c r="V36" s="8">
        <f t="shared" si="2"/>
        <v>0</v>
      </c>
      <c r="W36" s="8">
        <f t="shared" si="2"/>
        <v>110.792</v>
      </c>
      <c r="X36" s="8">
        <f t="shared" si="2"/>
        <v>64397.218000000015</v>
      </c>
      <c r="Y36" s="8">
        <f t="shared" si="2"/>
        <v>64397.218000000015</v>
      </c>
      <c r="Z36" s="8">
        <f t="shared" si="2"/>
        <v>0</v>
      </c>
      <c r="AA36" s="8">
        <f t="shared" si="2"/>
        <v>222.19399999999996</v>
      </c>
    </row>
    <row r="37" spans="1:27">
      <c r="A37" s="109"/>
      <c r="B37" s="100">
        <v>20</v>
      </c>
      <c r="C37" s="102">
        <v>4</v>
      </c>
      <c r="D37" s="39">
        <v>196140.21</v>
      </c>
      <c r="E37" s="39">
        <v>36356.5</v>
      </c>
      <c r="F37" s="39">
        <v>81.459999999999994</v>
      </c>
      <c r="G37" s="39">
        <v>3600.71</v>
      </c>
      <c r="H37" s="39">
        <v>180788.04</v>
      </c>
      <c r="I37" s="39">
        <v>41192.43</v>
      </c>
      <c r="J37" s="39">
        <v>77.22</v>
      </c>
      <c r="K37" s="39">
        <v>3600.07</v>
      </c>
      <c r="L37" s="39">
        <v>214267.69</v>
      </c>
      <c r="M37" s="39">
        <v>37475.35</v>
      </c>
      <c r="N37" s="39">
        <v>82.51</v>
      </c>
      <c r="O37" s="39">
        <v>3600.08</v>
      </c>
      <c r="P37" s="35">
        <v>159841.47</v>
      </c>
      <c r="Q37" s="35">
        <v>89831.15</v>
      </c>
      <c r="R37" s="35">
        <v>43.8</v>
      </c>
      <c r="S37" s="35">
        <v>3600.03</v>
      </c>
      <c r="T37" s="35">
        <v>161375.54999999999</v>
      </c>
      <c r="U37" s="35">
        <v>87975.99</v>
      </c>
      <c r="V37" s="35">
        <v>45.48</v>
      </c>
      <c r="W37" s="35">
        <v>3600.05</v>
      </c>
      <c r="X37" s="35">
        <v>164491.96</v>
      </c>
      <c r="Y37" s="35">
        <v>73202.77</v>
      </c>
      <c r="Z37" s="35">
        <v>55.5</v>
      </c>
      <c r="AA37" s="35">
        <v>3600.07</v>
      </c>
    </row>
    <row r="38" spans="1:27">
      <c r="A38" s="109"/>
      <c r="B38" s="100"/>
      <c r="C38" s="102"/>
      <c r="D38" s="21">
        <v>188569.71</v>
      </c>
      <c r="E38" s="21">
        <v>38207.69</v>
      </c>
      <c r="F38" s="21">
        <v>79.739999999999995</v>
      </c>
      <c r="G38" s="21">
        <v>3600.27</v>
      </c>
      <c r="H38" s="39">
        <v>195095.39</v>
      </c>
      <c r="I38" s="39">
        <v>36760.07</v>
      </c>
      <c r="J38" s="39">
        <v>81.16</v>
      </c>
      <c r="K38" s="39">
        <v>3600.08</v>
      </c>
      <c r="L38" s="39">
        <v>168949.33</v>
      </c>
      <c r="M38" s="39">
        <v>38517.65</v>
      </c>
      <c r="N38" s="39">
        <v>77.2</v>
      </c>
      <c r="O38" s="39">
        <v>3600.07</v>
      </c>
      <c r="P38" s="3">
        <v>156463.26</v>
      </c>
      <c r="Q38" s="3">
        <v>61885.77</v>
      </c>
      <c r="R38" s="3">
        <v>60.45</v>
      </c>
      <c r="S38" s="3">
        <v>3600.05</v>
      </c>
      <c r="T38" s="3">
        <v>155780.93</v>
      </c>
      <c r="U38" s="3">
        <v>73320.759999999995</v>
      </c>
      <c r="V38" s="3">
        <v>52.93</v>
      </c>
      <c r="W38" s="3">
        <v>3600.04</v>
      </c>
      <c r="X38" s="3">
        <v>157127.24</v>
      </c>
      <c r="Y38" s="3">
        <v>69261.66</v>
      </c>
      <c r="Z38" s="3">
        <v>55.92</v>
      </c>
      <c r="AA38" s="3">
        <v>3600.21</v>
      </c>
    </row>
    <row r="39" spans="1:27">
      <c r="A39" s="109"/>
      <c r="B39" s="100"/>
      <c r="C39" s="102"/>
      <c r="D39" s="21">
        <v>143490.23000000001</v>
      </c>
      <c r="E39" s="21">
        <v>50221.919999999998</v>
      </c>
      <c r="F39" s="21">
        <v>65</v>
      </c>
      <c r="G39" s="21">
        <v>3600.01</v>
      </c>
      <c r="H39" s="21">
        <v>149977.81</v>
      </c>
      <c r="I39" s="21">
        <v>30815.040000000001</v>
      </c>
      <c r="J39" s="21">
        <v>79.45</v>
      </c>
      <c r="K39" s="21">
        <v>3600.03</v>
      </c>
      <c r="L39" s="21">
        <v>150140.72</v>
      </c>
      <c r="M39" s="21">
        <v>51399.01</v>
      </c>
      <c r="N39" s="21">
        <v>65.77</v>
      </c>
      <c r="O39" s="21">
        <v>3600.06</v>
      </c>
      <c r="P39" s="3">
        <v>133211.65</v>
      </c>
      <c r="Q39" s="3">
        <v>76319.75</v>
      </c>
      <c r="R39" s="3">
        <v>42.71</v>
      </c>
      <c r="S39" s="3">
        <v>3600.07</v>
      </c>
      <c r="T39" s="3">
        <v>131960.65</v>
      </c>
      <c r="U39" s="3">
        <v>76265.850000000006</v>
      </c>
      <c r="V39" s="3">
        <v>42.21</v>
      </c>
      <c r="W39" s="3">
        <v>3600.11</v>
      </c>
      <c r="X39" s="3">
        <v>132642.70000000001</v>
      </c>
      <c r="Y39" s="3">
        <v>74500.41</v>
      </c>
      <c r="Z39" s="3">
        <v>43.83</v>
      </c>
      <c r="AA39" s="3">
        <v>3600.07</v>
      </c>
    </row>
    <row r="40" spans="1:27">
      <c r="A40" s="109"/>
      <c r="B40" s="100"/>
      <c r="C40" s="102"/>
      <c r="D40" s="21">
        <v>102876.75</v>
      </c>
      <c r="E40" s="21">
        <v>33459.980000000003</v>
      </c>
      <c r="F40" s="21">
        <v>67.48</v>
      </c>
      <c r="G40" s="21">
        <v>3600.51</v>
      </c>
      <c r="H40" s="21">
        <v>115043.38</v>
      </c>
      <c r="I40" s="21">
        <v>33722.35</v>
      </c>
      <c r="J40" s="21">
        <v>70.69</v>
      </c>
      <c r="K40" s="21">
        <v>3600.03</v>
      </c>
      <c r="L40" s="21">
        <v>106036.28</v>
      </c>
      <c r="M40" s="21">
        <v>33502.480000000003</v>
      </c>
      <c r="N40" s="21">
        <v>68.400000000000006</v>
      </c>
      <c r="O40" s="21">
        <v>3600.09</v>
      </c>
      <c r="P40" s="3">
        <v>84225.02</v>
      </c>
      <c r="Q40" s="3">
        <v>48650.37</v>
      </c>
      <c r="R40" s="3">
        <v>42.24</v>
      </c>
      <c r="S40" s="3">
        <v>3600.11</v>
      </c>
      <c r="T40" s="3">
        <v>84225.02</v>
      </c>
      <c r="U40" s="3">
        <v>50650.720000000001</v>
      </c>
      <c r="V40" s="3">
        <v>39.86</v>
      </c>
      <c r="W40" s="3">
        <v>3600.07</v>
      </c>
      <c r="X40" s="3">
        <v>84764.96</v>
      </c>
      <c r="Y40" s="3">
        <v>49991.13</v>
      </c>
      <c r="Z40" s="3">
        <v>41.02</v>
      </c>
      <c r="AA40" s="3">
        <v>3600.2</v>
      </c>
    </row>
    <row r="41" spans="1:27">
      <c r="A41" s="109"/>
      <c r="B41" s="100"/>
      <c r="C41" s="103"/>
      <c r="D41" s="21">
        <v>131173.16</v>
      </c>
      <c r="E41" s="21">
        <v>42588.93</v>
      </c>
      <c r="F41" s="21">
        <v>67.53</v>
      </c>
      <c r="G41" s="21">
        <v>3600.71</v>
      </c>
      <c r="H41" s="21">
        <v>131883.85</v>
      </c>
      <c r="I41" s="21">
        <v>41171.53</v>
      </c>
      <c r="J41" s="21">
        <v>68.78</v>
      </c>
      <c r="K41" s="21">
        <v>3600.05</v>
      </c>
      <c r="L41" s="21">
        <v>135327.75</v>
      </c>
      <c r="M41" s="21">
        <v>40875.47</v>
      </c>
      <c r="N41" s="21">
        <v>69.8</v>
      </c>
      <c r="O41" s="21">
        <v>3600.02</v>
      </c>
      <c r="P41" s="3">
        <v>106665.21</v>
      </c>
      <c r="Q41" s="3">
        <v>65816.509999999995</v>
      </c>
      <c r="R41" s="3">
        <v>38.299999999999997</v>
      </c>
      <c r="S41" s="3">
        <v>3600.02</v>
      </c>
      <c r="T41" s="3">
        <v>106990.82</v>
      </c>
      <c r="U41" s="3">
        <v>73292.070000000007</v>
      </c>
      <c r="V41" s="3">
        <v>31.5</v>
      </c>
      <c r="W41" s="3">
        <v>3600.02</v>
      </c>
      <c r="X41" s="3">
        <v>106955.22</v>
      </c>
      <c r="Y41" s="3">
        <v>65546.45</v>
      </c>
      <c r="Z41" s="3">
        <v>38.72</v>
      </c>
      <c r="AA41" s="3">
        <v>3600.03</v>
      </c>
    </row>
    <row r="42" spans="1:27">
      <c r="A42" s="109"/>
      <c r="B42" s="100"/>
      <c r="C42" s="104">
        <v>5</v>
      </c>
      <c r="D42" s="32">
        <v>86409.51</v>
      </c>
      <c r="E42" s="32">
        <v>34998.949999999997</v>
      </c>
      <c r="F42" s="32">
        <v>59.5</v>
      </c>
      <c r="G42" s="32">
        <v>3600.07</v>
      </c>
      <c r="H42" s="32">
        <v>84449.86</v>
      </c>
      <c r="I42" s="32">
        <v>33082.04</v>
      </c>
      <c r="J42" s="32">
        <v>60.83</v>
      </c>
      <c r="K42" s="32">
        <v>3600.43</v>
      </c>
      <c r="L42" s="32">
        <v>88169.88</v>
      </c>
      <c r="M42" s="32">
        <v>27967.64</v>
      </c>
      <c r="N42" s="32">
        <v>68.28</v>
      </c>
      <c r="O42" s="32">
        <v>3600.04</v>
      </c>
      <c r="P42" s="5">
        <v>73969.63</v>
      </c>
      <c r="Q42" s="5">
        <v>49068.14</v>
      </c>
      <c r="R42" s="5">
        <v>33.659999999999997</v>
      </c>
      <c r="S42" s="5">
        <v>3600.02</v>
      </c>
      <c r="T42" s="5">
        <v>74158.36</v>
      </c>
      <c r="U42" s="5">
        <v>50250.68</v>
      </c>
      <c r="V42" s="5">
        <v>32.24</v>
      </c>
      <c r="W42" s="5">
        <v>3600.01</v>
      </c>
      <c r="X42" s="5">
        <v>74158.399999999994</v>
      </c>
      <c r="Y42" s="5">
        <v>47517.54</v>
      </c>
      <c r="Z42" s="5">
        <v>35.92</v>
      </c>
      <c r="AA42" s="5">
        <v>3600.01</v>
      </c>
    </row>
    <row r="43" spans="1:27">
      <c r="A43" s="109"/>
      <c r="B43" s="100"/>
      <c r="C43" s="102"/>
      <c r="D43" s="32">
        <v>69145.31</v>
      </c>
      <c r="E43" s="32">
        <v>24462.61</v>
      </c>
      <c r="F43" s="32">
        <v>64.62</v>
      </c>
      <c r="G43" s="32">
        <v>3600.37</v>
      </c>
      <c r="H43" s="32">
        <v>65329.84</v>
      </c>
      <c r="I43" s="32">
        <v>25704.27</v>
      </c>
      <c r="J43" s="32">
        <v>60.65</v>
      </c>
      <c r="K43" s="32">
        <v>3600.02</v>
      </c>
      <c r="L43" s="32">
        <v>67346.67</v>
      </c>
      <c r="M43" s="32">
        <v>25739.61</v>
      </c>
      <c r="N43" s="32">
        <v>61.78</v>
      </c>
      <c r="O43" s="32">
        <v>3600.07</v>
      </c>
      <c r="P43" s="5">
        <v>56453.69</v>
      </c>
      <c r="Q43" s="5">
        <v>38419.879999999997</v>
      </c>
      <c r="R43" s="5">
        <v>31.94</v>
      </c>
      <c r="S43" s="5">
        <v>3600.09</v>
      </c>
      <c r="T43" s="5">
        <v>56771.97</v>
      </c>
      <c r="U43" s="5">
        <v>40410.69</v>
      </c>
      <c r="V43" s="5">
        <v>28.82</v>
      </c>
      <c r="W43" s="5">
        <v>3600.07</v>
      </c>
      <c r="X43" s="5">
        <v>56636.49</v>
      </c>
      <c r="Y43" s="5">
        <v>36942.6</v>
      </c>
      <c r="Z43" s="5">
        <v>34.770000000000003</v>
      </c>
      <c r="AA43" s="5">
        <v>3600.05</v>
      </c>
    </row>
    <row r="44" spans="1:27">
      <c r="A44" s="109"/>
      <c r="B44" s="100"/>
      <c r="C44" s="102"/>
      <c r="D44" s="32">
        <v>102940.19</v>
      </c>
      <c r="E44" s="32">
        <v>40364.68</v>
      </c>
      <c r="F44" s="32">
        <v>60.79</v>
      </c>
      <c r="G44" s="32">
        <v>3600.45</v>
      </c>
      <c r="H44" s="32">
        <v>100738.61</v>
      </c>
      <c r="I44" s="32">
        <v>39202.769999999997</v>
      </c>
      <c r="J44" s="32">
        <v>61.08</v>
      </c>
      <c r="K44" s="32">
        <v>3600.13</v>
      </c>
      <c r="L44" s="32">
        <v>94908.7</v>
      </c>
      <c r="M44" s="32">
        <v>37671.01</v>
      </c>
      <c r="N44" s="32">
        <v>60.31</v>
      </c>
      <c r="O44" s="32">
        <v>3600.01</v>
      </c>
      <c r="P44" s="5">
        <v>82079.58</v>
      </c>
      <c r="Q44" s="5">
        <v>57004.75</v>
      </c>
      <c r="R44" s="5">
        <v>30.55</v>
      </c>
      <c r="S44" s="5">
        <v>3600.07</v>
      </c>
      <c r="T44" s="5">
        <v>82079.58</v>
      </c>
      <c r="U44" s="5">
        <v>54061.16</v>
      </c>
      <c r="V44" s="5">
        <v>34.14</v>
      </c>
      <c r="W44" s="5">
        <v>3600.34</v>
      </c>
      <c r="X44" s="5">
        <v>83982.43</v>
      </c>
      <c r="Y44" s="5">
        <v>53154.78</v>
      </c>
      <c r="Z44" s="5">
        <v>36.71</v>
      </c>
      <c r="AA44" s="5">
        <v>3600.4</v>
      </c>
    </row>
    <row r="45" spans="1:27">
      <c r="A45" s="109"/>
      <c r="B45" s="100"/>
      <c r="C45" s="102"/>
      <c r="D45" s="32">
        <v>64866.09</v>
      </c>
      <c r="E45" s="32">
        <v>23606.1</v>
      </c>
      <c r="F45" s="32">
        <v>63.61</v>
      </c>
      <c r="G45" s="32">
        <v>3600.22</v>
      </c>
      <c r="H45" s="32">
        <v>63606.44</v>
      </c>
      <c r="I45" s="32">
        <v>27818.799999999999</v>
      </c>
      <c r="J45" s="32">
        <v>56.26</v>
      </c>
      <c r="K45" s="32">
        <v>3600.71</v>
      </c>
      <c r="L45" s="32">
        <v>72376.61</v>
      </c>
      <c r="M45" s="32">
        <v>26227.54</v>
      </c>
      <c r="N45" s="32">
        <v>63.76</v>
      </c>
      <c r="O45" s="32">
        <v>3600.05</v>
      </c>
      <c r="P45" s="5">
        <v>57251.93</v>
      </c>
      <c r="Q45" s="5">
        <v>39642.78</v>
      </c>
      <c r="R45" s="5">
        <v>30.76</v>
      </c>
      <c r="S45" s="5">
        <v>3600.09</v>
      </c>
      <c r="T45" s="5">
        <v>57251.91</v>
      </c>
      <c r="U45" s="5">
        <v>39324.35</v>
      </c>
      <c r="V45" s="5">
        <v>31.31</v>
      </c>
      <c r="W45" s="5">
        <v>3600.02</v>
      </c>
      <c r="X45" s="5">
        <v>57306.93</v>
      </c>
      <c r="Y45" s="5">
        <v>39495.269999999997</v>
      </c>
      <c r="Z45" s="5">
        <v>31.08</v>
      </c>
      <c r="AA45" s="5">
        <v>3600.03</v>
      </c>
    </row>
    <row r="46" spans="1:27">
      <c r="A46" s="109"/>
      <c r="B46" s="100"/>
      <c r="C46" s="103"/>
      <c r="D46" s="32">
        <v>51506.86</v>
      </c>
      <c r="E46" s="32">
        <v>20307.13</v>
      </c>
      <c r="F46" s="32">
        <v>60.57</v>
      </c>
      <c r="G46" s="32">
        <v>3600.4</v>
      </c>
      <c r="H46" s="32">
        <v>47307.74</v>
      </c>
      <c r="I46" s="32">
        <v>23799.34</v>
      </c>
      <c r="J46" s="32">
        <v>49.69</v>
      </c>
      <c r="K46" s="32">
        <v>3600.01</v>
      </c>
      <c r="L46" s="32">
        <v>49332.86</v>
      </c>
      <c r="M46" s="32">
        <v>24803.77</v>
      </c>
      <c r="N46" s="32">
        <v>49.71</v>
      </c>
      <c r="O46" s="32">
        <v>3600.02</v>
      </c>
      <c r="P46" s="36">
        <v>42095.75</v>
      </c>
      <c r="Q46" s="36">
        <v>33093.5</v>
      </c>
      <c r="R46" s="36">
        <v>21.39</v>
      </c>
      <c r="S46" s="36">
        <v>3600.03</v>
      </c>
      <c r="T46" s="36">
        <v>42095.75</v>
      </c>
      <c r="U46" s="36">
        <v>32063.22</v>
      </c>
      <c r="V46" s="36">
        <v>23.83</v>
      </c>
      <c r="W46" s="36">
        <v>3600.04</v>
      </c>
      <c r="X46" s="36">
        <v>42095.75</v>
      </c>
      <c r="Y46" s="36">
        <v>32160.1</v>
      </c>
      <c r="Z46" s="36">
        <v>23.6</v>
      </c>
      <c r="AA46" s="36">
        <v>3600.04</v>
      </c>
    </row>
    <row r="47" spans="1:27">
      <c r="A47" s="109"/>
      <c r="B47" s="100"/>
      <c r="C47" s="41"/>
      <c r="D47" s="38">
        <f t="shared" ref="D47:AA47" si="3">AVERAGE(D37:D46)</f>
        <v>113711.80200000003</v>
      </c>
      <c r="E47" s="38">
        <f t="shared" si="3"/>
        <v>34457.448999999993</v>
      </c>
      <c r="F47" s="38">
        <f t="shared" si="3"/>
        <v>67.03</v>
      </c>
      <c r="G47" s="38">
        <f t="shared" si="3"/>
        <v>3600.3720000000003</v>
      </c>
      <c r="H47" s="38">
        <f t="shared" ref="H47:O47" si="4">AVERAGE(H37:H46)</f>
        <v>113422.09599999999</v>
      </c>
      <c r="I47" s="38">
        <f t="shared" si="4"/>
        <v>33326.864000000001</v>
      </c>
      <c r="J47" s="38">
        <f t="shared" si="4"/>
        <v>66.580999999999989</v>
      </c>
      <c r="K47" s="38">
        <f t="shared" si="4"/>
        <v>3600.1560000000004</v>
      </c>
      <c r="L47" s="38">
        <f t="shared" si="4"/>
        <v>114685.64900000002</v>
      </c>
      <c r="M47" s="38">
        <f t="shared" si="4"/>
        <v>34417.953000000001</v>
      </c>
      <c r="N47" s="38">
        <f t="shared" si="4"/>
        <v>66.751999999999995</v>
      </c>
      <c r="O47" s="38">
        <f t="shared" si="4"/>
        <v>3600.0510000000004</v>
      </c>
      <c r="P47" s="37">
        <f t="shared" si="3"/>
        <v>95225.718999999997</v>
      </c>
      <c r="Q47" s="37">
        <f t="shared" si="3"/>
        <v>55973.259999999995</v>
      </c>
      <c r="R47" s="37">
        <f t="shared" si="3"/>
        <v>37.58</v>
      </c>
      <c r="S47" s="37">
        <f t="shared" si="3"/>
        <v>3600.058</v>
      </c>
      <c r="T47" s="37">
        <f t="shared" si="3"/>
        <v>95269.053999999989</v>
      </c>
      <c r="U47" s="37">
        <f t="shared" si="3"/>
        <v>57761.548999999999</v>
      </c>
      <c r="V47" s="37">
        <f t="shared" si="3"/>
        <v>36.231999999999999</v>
      </c>
      <c r="W47" s="37">
        <f t="shared" si="3"/>
        <v>3600.0770000000002</v>
      </c>
      <c r="X47" s="37">
        <f t="shared" si="3"/>
        <v>96016.207999999999</v>
      </c>
      <c r="Y47" s="37">
        <f t="shared" si="3"/>
        <v>54177.270999999993</v>
      </c>
      <c r="Z47" s="37">
        <f t="shared" si="3"/>
        <v>39.707000000000001</v>
      </c>
      <c r="AA47" s="37">
        <f t="shared" si="3"/>
        <v>3600.1109999999994</v>
      </c>
    </row>
    <row r="48" spans="1:27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50" spans="1:27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</row>
    <row r="51" spans="1:27">
      <c r="A51" s="100" t="s">
        <v>9</v>
      </c>
      <c r="B51" s="100">
        <v>5</v>
      </c>
      <c r="C51" s="102">
        <v>2</v>
      </c>
      <c r="D51" s="39">
        <v>15924.86</v>
      </c>
      <c r="E51" s="39">
        <v>15924.86</v>
      </c>
      <c r="F51" s="39">
        <v>0</v>
      </c>
      <c r="G51" s="39">
        <v>0.11</v>
      </c>
      <c r="H51" s="39">
        <v>15924.86</v>
      </c>
      <c r="I51" s="39">
        <v>15924.86</v>
      </c>
      <c r="J51" s="39">
        <v>0</v>
      </c>
      <c r="K51" s="39">
        <v>0.13</v>
      </c>
      <c r="L51" s="39">
        <v>15924.86</v>
      </c>
      <c r="M51" s="39">
        <v>15924.86</v>
      </c>
      <c r="N51" s="39">
        <v>0</v>
      </c>
      <c r="O51" s="39">
        <v>0.15</v>
      </c>
      <c r="P51" s="34">
        <v>15924.86</v>
      </c>
      <c r="Q51" s="34">
        <v>15924.86</v>
      </c>
      <c r="R51" s="35">
        <v>0</v>
      </c>
      <c r="S51" s="35">
        <v>0.02</v>
      </c>
      <c r="T51" s="34">
        <v>15924.86</v>
      </c>
      <c r="U51" s="34">
        <v>15924.86</v>
      </c>
      <c r="V51" s="35">
        <v>0</v>
      </c>
      <c r="W51" s="35">
        <v>0.04</v>
      </c>
      <c r="X51" s="34">
        <v>15924.86</v>
      </c>
      <c r="Y51" s="34">
        <v>15924.86</v>
      </c>
      <c r="Z51" s="35">
        <v>0</v>
      </c>
      <c r="AA51" s="35">
        <v>0.05</v>
      </c>
    </row>
    <row r="52" spans="1:27">
      <c r="A52" s="100"/>
      <c r="B52" s="100"/>
      <c r="C52" s="102"/>
      <c r="D52" s="21">
        <v>8101.36</v>
      </c>
      <c r="E52" s="21">
        <v>8101.36</v>
      </c>
      <c r="F52" s="21">
        <v>0</v>
      </c>
      <c r="G52" s="21">
        <v>0.08</v>
      </c>
      <c r="H52" s="21">
        <v>8101.36</v>
      </c>
      <c r="I52" s="21">
        <v>8101.36</v>
      </c>
      <c r="J52" s="21">
        <v>0</v>
      </c>
      <c r="K52" s="21">
        <v>0.1</v>
      </c>
      <c r="L52" s="21">
        <v>8101.36</v>
      </c>
      <c r="M52" s="21">
        <v>8101.36</v>
      </c>
      <c r="N52" s="21">
        <v>0</v>
      </c>
      <c r="O52" s="21">
        <v>0.1</v>
      </c>
      <c r="P52" s="1">
        <v>8101.36</v>
      </c>
      <c r="Q52" s="1">
        <v>8101.36</v>
      </c>
      <c r="R52" s="3">
        <v>0</v>
      </c>
      <c r="S52" s="3">
        <v>0.04</v>
      </c>
      <c r="T52" s="1">
        <v>8101.36</v>
      </c>
      <c r="U52" s="1">
        <v>8101.36</v>
      </c>
      <c r="V52" s="3">
        <v>0</v>
      </c>
      <c r="W52" s="3">
        <v>0.02</v>
      </c>
      <c r="X52" s="1">
        <v>8101.36</v>
      </c>
      <c r="Y52" s="1">
        <v>8101.36</v>
      </c>
      <c r="Z52" s="3">
        <v>0</v>
      </c>
      <c r="AA52" s="3">
        <v>0.02</v>
      </c>
    </row>
    <row r="53" spans="1:27">
      <c r="A53" s="100"/>
      <c r="B53" s="100"/>
      <c r="C53" s="102"/>
      <c r="D53" s="21">
        <v>10371.02</v>
      </c>
      <c r="E53" s="21">
        <v>10371.02</v>
      </c>
      <c r="F53" s="21">
        <v>0</v>
      </c>
      <c r="G53" s="21">
        <v>0.1</v>
      </c>
      <c r="H53" s="21">
        <v>10371.02</v>
      </c>
      <c r="I53" s="21">
        <v>10371.02</v>
      </c>
      <c r="J53" s="21">
        <v>0</v>
      </c>
      <c r="K53" s="21">
        <v>0.09</v>
      </c>
      <c r="L53" s="21">
        <v>10371.02</v>
      </c>
      <c r="M53" s="21">
        <v>10371.02</v>
      </c>
      <c r="N53" s="21">
        <v>0</v>
      </c>
      <c r="O53" s="21">
        <v>0.08</v>
      </c>
      <c r="P53" s="1">
        <v>10371.02</v>
      </c>
      <c r="Q53" s="1">
        <v>10371.02</v>
      </c>
      <c r="R53" s="3">
        <v>0</v>
      </c>
      <c r="S53" s="3">
        <v>0.01</v>
      </c>
      <c r="T53" s="1">
        <v>10371.02</v>
      </c>
      <c r="U53" s="1">
        <v>10371.02</v>
      </c>
      <c r="V53" s="3">
        <v>0</v>
      </c>
      <c r="W53" s="3">
        <v>0.03</v>
      </c>
      <c r="X53" s="1">
        <v>10371.02</v>
      </c>
      <c r="Y53" s="1">
        <v>10371.02</v>
      </c>
      <c r="Z53" s="3">
        <v>0</v>
      </c>
      <c r="AA53" s="3">
        <v>0.02</v>
      </c>
    </row>
    <row r="54" spans="1:27">
      <c r="A54" s="100"/>
      <c r="B54" s="100"/>
      <c r="C54" s="102"/>
      <c r="D54" s="21">
        <v>23265.93</v>
      </c>
      <c r="E54" s="21">
        <v>23265.93</v>
      </c>
      <c r="F54" s="21">
        <v>0</v>
      </c>
      <c r="G54" s="21">
        <v>0.08</v>
      </c>
      <c r="H54" s="21">
        <v>23265.93</v>
      </c>
      <c r="I54" s="21">
        <v>23265.93</v>
      </c>
      <c r="J54" s="21">
        <v>0</v>
      </c>
      <c r="K54" s="21">
        <v>0.09</v>
      </c>
      <c r="L54" s="21">
        <v>23265.93</v>
      </c>
      <c r="M54" s="21">
        <v>23265.93</v>
      </c>
      <c r="N54" s="21">
        <v>0</v>
      </c>
      <c r="O54" s="21">
        <v>0.12</v>
      </c>
      <c r="P54" s="1">
        <v>23265.93</v>
      </c>
      <c r="Q54" s="1">
        <v>23265.93</v>
      </c>
      <c r="R54" s="3">
        <v>0</v>
      </c>
      <c r="S54" s="3">
        <v>0.02</v>
      </c>
      <c r="T54" s="1">
        <v>23265.93</v>
      </c>
      <c r="U54" s="1">
        <v>23265.93</v>
      </c>
      <c r="V54" s="3">
        <v>0</v>
      </c>
      <c r="W54" s="3">
        <v>0.02</v>
      </c>
      <c r="X54" s="1">
        <v>23265.93</v>
      </c>
      <c r="Y54" s="1">
        <v>23265.93</v>
      </c>
      <c r="Z54" s="3">
        <v>0</v>
      </c>
      <c r="AA54" s="3">
        <v>0.05</v>
      </c>
    </row>
    <row r="55" spans="1:27">
      <c r="A55" s="100"/>
      <c r="B55" s="100"/>
      <c r="C55" s="103"/>
      <c r="D55" s="21">
        <v>9931.5499999999993</v>
      </c>
      <c r="E55" s="21">
        <v>9931.5499999999993</v>
      </c>
      <c r="F55" s="21">
        <v>0</v>
      </c>
      <c r="G55" s="21">
        <v>0.06</v>
      </c>
      <c r="H55" s="21">
        <v>9931.5499999999993</v>
      </c>
      <c r="I55" s="21">
        <v>9931.5499999999993</v>
      </c>
      <c r="J55" s="21">
        <v>0</v>
      </c>
      <c r="K55" s="21">
        <v>0.11</v>
      </c>
      <c r="L55" s="21">
        <v>9931.5499999999993</v>
      </c>
      <c r="M55" s="21">
        <v>9931.5499999999993</v>
      </c>
      <c r="N55" s="21">
        <v>0</v>
      </c>
      <c r="O55" s="21">
        <v>0.08</v>
      </c>
      <c r="P55" s="1">
        <v>9931.5499999999993</v>
      </c>
      <c r="Q55" s="1">
        <v>9931.5499999999993</v>
      </c>
      <c r="R55" s="3">
        <v>0</v>
      </c>
      <c r="S55" s="3">
        <v>0.01</v>
      </c>
      <c r="T55" s="1">
        <v>9931.5499999999993</v>
      </c>
      <c r="U55" s="1">
        <v>9931.5499999999993</v>
      </c>
      <c r="V55" s="3">
        <v>0</v>
      </c>
      <c r="W55" s="3">
        <v>0.02</v>
      </c>
      <c r="X55" s="1">
        <v>9931.5499999999993</v>
      </c>
      <c r="Y55" s="1">
        <v>9931.5499999999993</v>
      </c>
      <c r="Z55" s="3">
        <v>0</v>
      </c>
      <c r="AA55" s="3">
        <v>0.03</v>
      </c>
    </row>
    <row r="56" spans="1:27">
      <c r="A56" s="100"/>
      <c r="B56" s="100"/>
      <c r="C56" s="104">
        <v>3</v>
      </c>
      <c r="D56" s="32">
        <v>3417.42</v>
      </c>
      <c r="E56" s="32">
        <v>3417.42</v>
      </c>
      <c r="F56" s="32">
        <v>0</v>
      </c>
      <c r="G56" s="49">
        <v>0.2</v>
      </c>
      <c r="H56" s="32">
        <v>3417.42</v>
      </c>
      <c r="I56" s="32">
        <v>3417.42</v>
      </c>
      <c r="J56" s="32">
        <v>0</v>
      </c>
      <c r="K56" s="49">
        <v>0.16</v>
      </c>
      <c r="L56" s="32">
        <v>3417.42</v>
      </c>
      <c r="M56" s="32">
        <v>3417.42</v>
      </c>
      <c r="N56" s="32">
        <v>0</v>
      </c>
      <c r="O56" s="49">
        <v>0.19</v>
      </c>
      <c r="P56" s="4">
        <v>3417.42</v>
      </c>
      <c r="Q56" s="4">
        <v>3417.42</v>
      </c>
      <c r="R56" s="5">
        <v>0</v>
      </c>
      <c r="S56" s="5">
        <v>0.08</v>
      </c>
      <c r="T56" s="4">
        <v>3417.42</v>
      </c>
      <c r="U56" s="4">
        <v>3417.42</v>
      </c>
      <c r="V56" s="5">
        <v>0</v>
      </c>
      <c r="W56" s="5">
        <v>0.04</v>
      </c>
      <c r="X56" s="4">
        <v>3417.42</v>
      </c>
      <c r="Y56" s="4">
        <v>3417.42</v>
      </c>
      <c r="Z56" s="5">
        <v>0</v>
      </c>
      <c r="AA56" s="5">
        <v>0.04</v>
      </c>
    </row>
    <row r="57" spans="1:27">
      <c r="A57" s="100"/>
      <c r="B57" s="100"/>
      <c r="C57" s="102"/>
      <c r="D57" s="32">
        <v>8109.63</v>
      </c>
      <c r="E57" s="32">
        <v>8109.63</v>
      </c>
      <c r="F57" s="32">
        <v>0</v>
      </c>
      <c r="G57" s="32">
        <v>0.14000000000000001</v>
      </c>
      <c r="H57" s="32">
        <v>8109.63</v>
      </c>
      <c r="I57" s="32">
        <v>8109.63</v>
      </c>
      <c r="J57" s="32">
        <v>0</v>
      </c>
      <c r="K57" s="32">
        <v>0.14000000000000001</v>
      </c>
      <c r="L57" s="32">
        <v>8109.63</v>
      </c>
      <c r="M57" s="32">
        <v>8109.63</v>
      </c>
      <c r="N57" s="32">
        <v>0</v>
      </c>
      <c r="O57" s="32">
        <v>0.14000000000000001</v>
      </c>
      <c r="P57" s="4">
        <v>8109.63</v>
      </c>
      <c r="Q57" s="4">
        <v>8109.63</v>
      </c>
      <c r="R57" s="5">
        <v>0</v>
      </c>
      <c r="S57" s="5">
        <v>0.01</v>
      </c>
      <c r="T57" s="4">
        <v>8109.63</v>
      </c>
      <c r="U57" s="4">
        <v>8109.63</v>
      </c>
      <c r="V57" s="5">
        <v>0</v>
      </c>
      <c r="W57" s="5">
        <v>0.01</v>
      </c>
      <c r="X57" s="4">
        <v>8109.63</v>
      </c>
      <c r="Y57" s="4">
        <v>8109.63</v>
      </c>
      <c r="Z57" s="5">
        <v>0</v>
      </c>
      <c r="AA57" s="5">
        <v>0.01</v>
      </c>
    </row>
    <row r="58" spans="1:27">
      <c r="A58" s="100"/>
      <c r="B58" s="100"/>
      <c r="C58" s="102"/>
      <c r="D58" s="32">
        <v>13635.68</v>
      </c>
      <c r="E58" s="32">
        <v>13635.68</v>
      </c>
      <c r="F58" s="32">
        <v>0</v>
      </c>
      <c r="G58" s="32">
        <v>0.13</v>
      </c>
      <c r="H58" s="32">
        <v>13635.68</v>
      </c>
      <c r="I58" s="32">
        <v>13635.68</v>
      </c>
      <c r="J58" s="32">
        <v>0</v>
      </c>
      <c r="K58" s="32">
        <v>0.12</v>
      </c>
      <c r="L58" s="32">
        <v>13635.68</v>
      </c>
      <c r="M58" s="32">
        <v>13635.68</v>
      </c>
      <c r="N58" s="32">
        <v>0</v>
      </c>
      <c r="O58" s="32">
        <v>0.19</v>
      </c>
      <c r="P58" s="4">
        <v>13635.68</v>
      </c>
      <c r="Q58" s="4">
        <v>13635.68</v>
      </c>
      <c r="R58" s="5">
        <v>0</v>
      </c>
      <c r="S58" s="5">
        <v>0.02</v>
      </c>
      <c r="T58" s="4">
        <v>13635.68</v>
      </c>
      <c r="U58" s="4">
        <v>13635.68</v>
      </c>
      <c r="V58" s="5">
        <v>0</v>
      </c>
      <c r="W58" s="5">
        <v>0.02</v>
      </c>
      <c r="X58" s="4">
        <v>13635.68</v>
      </c>
      <c r="Y58" s="4">
        <v>13635.68</v>
      </c>
      <c r="Z58" s="5">
        <v>0</v>
      </c>
      <c r="AA58" s="5">
        <v>0.02</v>
      </c>
    </row>
    <row r="59" spans="1:27">
      <c r="A59" s="100"/>
      <c r="B59" s="100"/>
      <c r="C59" s="102"/>
      <c r="D59" s="32">
        <v>5142.8599999999997</v>
      </c>
      <c r="E59" s="32">
        <v>5142.8599999999997</v>
      </c>
      <c r="F59" s="32">
        <v>0</v>
      </c>
      <c r="G59" s="32">
        <v>0.14000000000000001</v>
      </c>
      <c r="H59" s="32">
        <v>5142.8599999999997</v>
      </c>
      <c r="I59" s="32">
        <v>5142.8599999999997</v>
      </c>
      <c r="J59" s="32">
        <v>0</v>
      </c>
      <c r="K59" s="32">
        <v>0.13</v>
      </c>
      <c r="L59" s="32">
        <v>5142.8599999999997</v>
      </c>
      <c r="M59" s="32">
        <v>5142.8599999999997</v>
      </c>
      <c r="N59" s="32">
        <v>0</v>
      </c>
      <c r="O59" s="32">
        <v>0.12</v>
      </c>
      <c r="P59" s="4">
        <v>5142.8599999999997</v>
      </c>
      <c r="Q59" s="4">
        <v>5142.8599999999997</v>
      </c>
      <c r="R59" s="5">
        <v>0</v>
      </c>
      <c r="S59" s="5">
        <v>0.02</v>
      </c>
      <c r="T59" s="4">
        <v>5142.8599999999997</v>
      </c>
      <c r="U59" s="4">
        <v>5142.8599999999997</v>
      </c>
      <c r="V59" s="5">
        <v>0</v>
      </c>
      <c r="W59" s="5">
        <v>0.03</v>
      </c>
      <c r="X59" s="4">
        <v>5142.8599999999997</v>
      </c>
      <c r="Y59" s="4">
        <v>5142.8599999999997</v>
      </c>
      <c r="Z59" s="5">
        <v>0</v>
      </c>
      <c r="AA59" s="5">
        <v>0.03</v>
      </c>
    </row>
    <row r="60" spans="1:27">
      <c r="A60" s="100"/>
      <c r="B60" s="100"/>
      <c r="C60" s="103"/>
      <c r="D60" s="32">
        <v>4303.66</v>
      </c>
      <c r="E60" s="32">
        <v>4303.66</v>
      </c>
      <c r="F60" s="32">
        <v>0</v>
      </c>
      <c r="G60" s="32">
        <v>0.18</v>
      </c>
      <c r="H60" s="32">
        <v>4303.66</v>
      </c>
      <c r="I60" s="32">
        <v>4303.66</v>
      </c>
      <c r="J60" s="32">
        <v>0</v>
      </c>
      <c r="K60" s="32">
        <v>0.14000000000000001</v>
      </c>
      <c r="L60" s="32">
        <v>4303.66</v>
      </c>
      <c r="M60" s="32">
        <v>4303.66</v>
      </c>
      <c r="N60" s="32">
        <v>0</v>
      </c>
      <c r="O60" s="32">
        <v>0.33</v>
      </c>
      <c r="P60" s="4">
        <v>4303.66</v>
      </c>
      <c r="Q60" s="4">
        <v>4303.66</v>
      </c>
      <c r="R60" s="5">
        <v>0</v>
      </c>
      <c r="S60" s="5">
        <v>0.03</v>
      </c>
      <c r="T60" s="4">
        <v>4303.66</v>
      </c>
      <c r="U60" s="4">
        <v>4303.66</v>
      </c>
      <c r="V60" s="5">
        <v>0</v>
      </c>
      <c r="W60" s="5">
        <v>0.02</v>
      </c>
      <c r="X60" s="4">
        <v>4303.66</v>
      </c>
      <c r="Y60" s="4">
        <v>4303.66</v>
      </c>
      <c r="Z60" s="5">
        <v>0</v>
      </c>
      <c r="AA60" s="5">
        <v>0.03</v>
      </c>
    </row>
    <row r="61" spans="1:27">
      <c r="A61" s="100"/>
      <c r="B61" s="101"/>
      <c r="C61" s="41"/>
      <c r="D61" s="33">
        <f t="shared" ref="D61:AA61" si="5">AVERAGE(D51:D60)</f>
        <v>10220.397000000001</v>
      </c>
      <c r="E61" s="33">
        <f t="shared" si="5"/>
        <v>10220.397000000001</v>
      </c>
      <c r="F61" s="33">
        <f t="shared" si="5"/>
        <v>0</v>
      </c>
      <c r="G61" s="33">
        <f t="shared" si="5"/>
        <v>0.122</v>
      </c>
      <c r="H61" s="33">
        <f t="shared" si="5"/>
        <v>10220.397000000001</v>
      </c>
      <c r="I61" s="33">
        <f t="shared" si="5"/>
        <v>10220.397000000001</v>
      </c>
      <c r="J61" s="33">
        <f t="shared" si="5"/>
        <v>0</v>
      </c>
      <c r="K61" s="33">
        <f t="shared" si="5"/>
        <v>0.121</v>
      </c>
      <c r="L61" s="33">
        <f t="shared" si="5"/>
        <v>10220.397000000001</v>
      </c>
      <c r="M61" s="33">
        <f t="shared" si="5"/>
        <v>10220.397000000001</v>
      </c>
      <c r="N61" s="33">
        <f t="shared" si="5"/>
        <v>0</v>
      </c>
      <c r="O61" s="33">
        <f t="shared" si="5"/>
        <v>0.15</v>
      </c>
      <c r="P61" s="33">
        <f t="shared" si="5"/>
        <v>10220.397000000001</v>
      </c>
      <c r="Q61" s="33">
        <f t="shared" si="5"/>
        <v>10220.397000000001</v>
      </c>
      <c r="R61" s="8">
        <f t="shared" si="5"/>
        <v>0</v>
      </c>
      <c r="S61" s="33">
        <f t="shared" si="5"/>
        <v>2.6000000000000002E-2</v>
      </c>
      <c r="T61" s="33">
        <f t="shared" si="5"/>
        <v>10220.397000000001</v>
      </c>
      <c r="U61" s="33">
        <f t="shared" si="5"/>
        <v>10220.397000000001</v>
      </c>
      <c r="V61" s="33">
        <f t="shared" si="5"/>
        <v>0</v>
      </c>
      <c r="W61" s="33">
        <f t="shared" si="5"/>
        <v>2.5000000000000001E-2</v>
      </c>
      <c r="X61" s="33">
        <f t="shared" si="5"/>
        <v>10220.397000000001</v>
      </c>
      <c r="Y61" s="33">
        <f t="shared" si="5"/>
        <v>10220.397000000001</v>
      </c>
      <c r="Z61" s="33">
        <f t="shared" si="5"/>
        <v>0</v>
      </c>
      <c r="AA61" s="33">
        <f t="shared" si="5"/>
        <v>3.0000000000000006E-2</v>
      </c>
    </row>
    <row r="62" spans="1:27">
      <c r="A62" s="100"/>
      <c r="B62" s="105">
        <v>10</v>
      </c>
      <c r="C62" s="104">
        <v>3</v>
      </c>
      <c r="D62" s="21">
        <v>32536.11</v>
      </c>
      <c r="E62" s="21">
        <v>32536.11</v>
      </c>
      <c r="F62" s="21">
        <v>0</v>
      </c>
      <c r="G62" s="21">
        <v>23.62</v>
      </c>
      <c r="H62" s="21">
        <v>32536.11</v>
      </c>
      <c r="I62" s="21">
        <v>32536.11</v>
      </c>
      <c r="J62" s="21">
        <v>0</v>
      </c>
      <c r="K62" s="21">
        <v>22.94</v>
      </c>
      <c r="L62" s="21">
        <v>32536.11</v>
      </c>
      <c r="M62" s="21">
        <v>32536.11</v>
      </c>
      <c r="N62" s="21">
        <v>0</v>
      </c>
      <c r="O62" s="21">
        <v>26.79</v>
      </c>
      <c r="P62" s="1">
        <v>32536.11</v>
      </c>
      <c r="Q62" s="1">
        <v>32536.11</v>
      </c>
      <c r="R62" s="3">
        <v>0</v>
      </c>
      <c r="S62" s="3">
        <v>0.41</v>
      </c>
      <c r="T62" s="1">
        <v>32536.11</v>
      </c>
      <c r="U62" s="1">
        <v>32536.11</v>
      </c>
      <c r="V62" s="3">
        <v>0</v>
      </c>
      <c r="W62" s="3">
        <v>0.43</v>
      </c>
      <c r="X62" s="1">
        <v>32536.11</v>
      </c>
      <c r="Y62" s="1">
        <v>32536.11</v>
      </c>
      <c r="Z62" s="3">
        <v>0</v>
      </c>
      <c r="AA62" s="3">
        <v>0.55000000000000004</v>
      </c>
    </row>
    <row r="63" spans="1:27">
      <c r="A63" s="100"/>
      <c r="B63" s="100"/>
      <c r="C63" s="102"/>
      <c r="D63" s="21">
        <v>25424.55</v>
      </c>
      <c r="E63" s="21">
        <v>25424.55</v>
      </c>
      <c r="F63" s="21">
        <v>0</v>
      </c>
      <c r="G63" s="21">
        <v>26.98</v>
      </c>
      <c r="H63" s="21">
        <v>25424.55</v>
      </c>
      <c r="I63" s="21">
        <v>25424.55</v>
      </c>
      <c r="J63" s="21">
        <v>0</v>
      </c>
      <c r="K63" s="21">
        <v>29.57</v>
      </c>
      <c r="L63" s="21">
        <v>25424.55</v>
      </c>
      <c r="M63" s="21">
        <v>25424.55</v>
      </c>
      <c r="N63" s="21">
        <v>0</v>
      </c>
      <c r="O63" s="21">
        <v>27.47</v>
      </c>
      <c r="P63" s="1">
        <v>25424.55</v>
      </c>
      <c r="Q63" s="1">
        <v>25424.55</v>
      </c>
      <c r="R63" s="3">
        <v>0</v>
      </c>
      <c r="S63" s="3">
        <v>0.35</v>
      </c>
      <c r="T63" s="1">
        <v>25424.55</v>
      </c>
      <c r="U63" s="1">
        <v>25424.55</v>
      </c>
      <c r="V63" s="3">
        <v>0</v>
      </c>
      <c r="W63" s="3">
        <v>0.47</v>
      </c>
      <c r="X63" s="1">
        <v>25424.55</v>
      </c>
      <c r="Y63" s="1">
        <v>25424.55</v>
      </c>
      <c r="Z63" s="3">
        <v>0</v>
      </c>
      <c r="AA63" s="3">
        <v>0.57999999999999996</v>
      </c>
    </row>
    <row r="64" spans="1:27">
      <c r="A64" s="100"/>
      <c r="B64" s="100"/>
      <c r="C64" s="102"/>
      <c r="D64" s="21">
        <v>28942.86</v>
      </c>
      <c r="E64" s="21">
        <v>28942.86</v>
      </c>
      <c r="F64" s="21">
        <v>0</v>
      </c>
      <c r="G64" s="21">
        <v>28.69</v>
      </c>
      <c r="H64" s="21">
        <v>28942.86</v>
      </c>
      <c r="I64" s="21">
        <v>28942.86</v>
      </c>
      <c r="J64" s="21">
        <v>0</v>
      </c>
      <c r="K64" s="21">
        <v>24.56</v>
      </c>
      <c r="L64" s="21">
        <v>28942.86</v>
      </c>
      <c r="M64" s="21">
        <v>28942.86</v>
      </c>
      <c r="N64" s="21">
        <v>0</v>
      </c>
      <c r="O64" s="21">
        <v>30.38</v>
      </c>
      <c r="P64" s="1">
        <v>28942.86</v>
      </c>
      <c r="Q64" s="1">
        <v>28942.86</v>
      </c>
      <c r="R64" s="3">
        <v>0</v>
      </c>
      <c r="S64" s="3">
        <v>0.32</v>
      </c>
      <c r="T64" s="1">
        <v>28942.86</v>
      </c>
      <c r="U64" s="1">
        <v>28942.86</v>
      </c>
      <c r="V64" s="3">
        <v>0</v>
      </c>
      <c r="W64" s="3">
        <v>0.42</v>
      </c>
      <c r="X64" s="1">
        <v>28942.86</v>
      </c>
      <c r="Y64" s="1">
        <v>28942.86</v>
      </c>
      <c r="Z64" s="3">
        <v>0</v>
      </c>
      <c r="AA64" s="3">
        <v>0.56000000000000005</v>
      </c>
    </row>
    <row r="65" spans="1:27">
      <c r="A65" s="100"/>
      <c r="B65" s="100"/>
      <c r="C65" s="102"/>
      <c r="D65" s="21">
        <v>48175.44</v>
      </c>
      <c r="E65" s="21">
        <v>48175.42</v>
      </c>
      <c r="F65" s="21">
        <v>0</v>
      </c>
      <c r="G65" s="21">
        <v>23.83</v>
      </c>
      <c r="H65" s="21">
        <v>48175.44</v>
      </c>
      <c r="I65" s="21">
        <v>48175.42</v>
      </c>
      <c r="J65" s="21">
        <v>0</v>
      </c>
      <c r="K65" s="21">
        <v>19.760000000000002</v>
      </c>
      <c r="L65" s="21">
        <v>48175.44</v>
      </c>
      <c r="M65" s="21">
        <v>48175.42</v>
      </c>
      <c r="N65" s="21">
        <v>0</v>
      </c>
      <c r="O65" s="21">
        <v>24</v>
      </c>
      <c r="P65" s="1">
        <v>48175.44</v>
      </c>
      <c r="Q65" s="1">
        <v>48175.44</v>
      </c>
      <c r="R65" s="3">
        <v>0</v>
      </c>
      <c r="S65" s="3">
        <v>0.38</v>
      </c>
      <c r="T65" s="1">
        <v>48175.44</v>
      </c>
      <c r="U65" s="1">
        <v>48175.44</v>
      </c>
      <c r="V65" s="3">
        <v>0</v>
      </c>
      <c r="W65" s="3">
        <v>0.49</v>
      </c>
      <c r="X65" s="1">
        <v>48175.44</v>
      </c>
      <c r="Y65" s="1">
        <v>48175.44</v>
      </c>
      <c r="Z65" s="3">
        <v>0</v>
      </c>
      <c r="AA65" s="3">
        <v>0.71</v>
      </c>
    </row>
    <row r="66" spans="1:27">
      <c r="A66" s="100"/>
      <c r="B66" s="100"/>
      <c r="C66" s="103"/>
      <c r="D66" s="21">
        <v>36646.9</v>
      </c>
      <c r="E66" s="21">
        <v>36646.9</v>
      </c>
      <c r="F66" s="21">
        <v>0</v>
      </c>
      <c r="G66" s="21">
        <v>30.25</v>
      </c>
      <c r="H66" s="21">
        <v>36646.9</v>
      </c>
      <c r="I66" s="21">
        <v>36646.9</v>
      </c>
      <c r="J66" s="21">
        <v>0</v>
      </c>
      <c r="K66" s="21">
        <v>19.64</v>
      </c>
      <c r="L66" s="21">
        <v>36646.9</v>
      </c>
      <c r="M66" s="21">
        <v>36646.9</v>
      </c>
      <c r="N66" s="21">
        <v>0</v>
      </c>
      <c r="O66" s="21">
        <v>37.71</v>
      </c>
      <c r="P66" s="1">
        <v>36646.9</v>
      </c>
      <c r="Q66" s="1">
        <v>36646.9</v>
      </c>
      <c r="R66" s="3">
        <v>0</v>
      </c>
      <c r="S66" s="3">
        <v>0.28000000000000003</v>
      </c>
      <c r="T66" s="1">
        <v>36646.9</v>
      </c>
      <c r="U66" s="1">
        <v>36646.9</v>
      </c>
      <c r="V66" s="3">
        <v>0</v>
      </c>
      <c r="W66" s="3">
        <v>0.39</v>
      </c>
      <c r="X66" s="1">
        <v>36646.9</v>
      </c>
      <c r="Y66" s="1">
        <v>36646.9</v>
      </c>
      <c r="Z66" s="3">
        <v>0</v>
      </c>
      <c r="AA66" s="3">
        <v>0.55000000000000004</v>
      </c>
    </row>
    <row r="67" spans="1:27">
      <c r="A67" s="100"/>
      <c r="B67" s="100"/>
      <c r="C67" s="104">
        <v>4</v>
      </c>
      <c r="D67" s="32">
        <v>13187.24</v>
      </c>
      <c r="E67" s="32">
        <v>13187.24</v>
      </c>
      <c r="F67" s="32">
        <v>0</v>
      </c>
      <c r="G67" s="32">
        <v>16.559999999999999</v>
      </c>
      <c r="H67" s="32">
        <v>13187.24</v>
      </c>
      <c r="I67" s="32">
        <v>13187.24</v>
      </c>
      <c r="J67" s="32">
        <v>0</v>
      </c>
      <c r="K67" s="32">
        <v>13.82</v>
      </c>
      <c r="L67" s="32">
        <v>13187.24</v>
      </c>
      <c r="M67" s="32">
        <v>13187.24</v>
      </c>
      <c r="N67" s="32">
        <v>0</v>
      </c>
      <c r="O67" s="32">
        <v>13.84</v>
      </c>
      <c r="P67" s="4">
        <v>13187.24</v>
      </c>
      <c r="Q67" s="4">
        <v>13187.24</v>
      </c>
      <c r="R67" s="5">
        <v>0</v>
      </c>
      <c r="S67" s="5">
        <v>0.37</v>
      </c>
      <c r="T67" s="4">
        <v>13187.24</v>
      </c>
      <c r="U67" s="4">
        <v>13187.24</v>
      </c>
      <c r="V67" s="5">
        <v>0</v>
      </c>
      <c r="W67" s="5">
        <v>0.39</v>
      </c>
      <c r="X67" s="4">
        <v>13187.24</v>
      </c>
      <c r="Y67" s="4">
        <v>13187.24</v>
      </c>
      <c r="Z67" s="5">
        <v>0</v>
      </c>
      <c r="AA67" s="5">
        <v>2.4500000000000002</v>
      </c>
    </row>
    <row r="68" spans="1:27">
      <c r="A68" s="100"/>
      <c r="B68" s="100"/>
      <c r="C68" s="102"/>
      <c r="D68" s="32">
        <v>19578.7</v>
      </c>
      <c r="E68" s="32">
        <v>19578.7</v>
      </c>
      <c r="F68" s="32">
        <v>0</v>
      </c>
      <c r="G68" s="32">
        <v>19.559999999999999</v>
      </c>
      <c r="H68" s="32">
        <v>19578.7</v>
      </c>
      <c r="I68" s="32">
        <v>19578.7</v>
      </c>
      <c r="J68" s="32">
        <v>0</v>
      </c>
      <c r="K68" s="32">
        <v>14.36</v>
      </c>
      <c r="L68" s="32">
        <v>19578.7</v>
      </c>
      <c r="M68" s="32">
        <v>19578.7</v>
      </c>
      <c r="N68" s="32">
        <v>0</v>
      </c>
      <c r="O68" s="32">
        <v>19.309999999999999</v>
      </c>
      <c r="P68" s="4">
        <v>19578.7</v>
      </c>
      <c r="Q68" s="4">
        <v>19578.7</v>
      </c>
      <c r="R68" s="5">
        <v>0</v>
      </c>
      <c r="S68" s="5">
        <v>1.18</v>
      </c>
      <c r="T68" s="4">
        <v>19578.7</v>
      </c>
      <c r="U68" s="4">
        <v>19578.7</v>
      </c>
      <c r="V68" s="5">
        <v>0</v>
      </c>
      <c r="W68" s="5">
        <v>1.84</v>
      </c>
      <c r="X68" s="4">
        <v>19578.7</v>
      </c>
      <c r="Y68" s="4">
        <v>19578.7</v>
      </c>
      <c r="Z68" s="5">
        <v>0</v>
      </c>
      <c r="AA68" s="5">
        <v>2.57</v>
      </c>
    </row>
    <row r="69" spans="1:27">
      <c r="A69" s="100"/>
      <c r="B69" s="100"/>
      <c r="C69" s="102"/>
      <c r="D69" s="32">
        <v>28538.06</v>
      </c>
      <c r="E69" s="32">
        <v>28538.06</v>
      </c>
      <c r="F69" s="32">
        <v>0</v>
      </c>
      <c r="G69" s="32">
        <v>15.18</v>
      </c>
      <c r="H69" s="32">
        <v>28538.06</v>
      </c>
      <c r="I69" s="32">
        <v>28538.06</v>
      </c>
      <c r="J69" s="32">
        <v>0</v>
      </c>
      <c r="K69" s="32">
        <v>13.21</v>
      </c>
      <c r="L69" s="32">
        <v>28538.06</v>
      </c>
      <c r="M69" s="32">
        <v>28538.06</v>
      </c>
      <c r="N69" s="32">
        <v>0</v>
      </c>
      <c r="O69" s="32">
        <v>15.88</v>
      </c>
      <c r="P69" s="4">
        <v>28538.06</v>
      </c>
      <c r="Q69" s="4">
        <v>28538.06</v>
      </c>
      <c r="R69" s="5">
        <v>0</v>
      </c>
      <c r="S69" s="5">
        <v>0.33</v>
      </c>
      <c r="T69" s="4">
        <v>28538.06</v>
      </c>
      <c r="U69" s="4">
        <v>28538.06</v>
      </c>
      <c r="V69" s="5">
        <v>0</v>
      </c>
      <c r="W69" s="5">
        <v>1.71</v>
      </c>
      <c r="X69" s="4">
        <v>28538.06</v>
      </c>
      <c r="Y69" s="4">
        <v>28538.06</v>
      </c>
      <c r="Z69" s="5">
        <v>0</v>
      </c>
      <c r="AA69" s="5">
        <v>2.63</v>
      </c>
    </row>
    <row r="70" spans="1:27">
      <c r="A70" s="100"/>
      <c r="B70" s="100"/>
      <c r="C70" s="102"/>
      <c r="D70" s="32">
        <v>14947.64</v>
      </c>
      <c r="E70" s="32">
        <v>14947.64</v>
      </c>
      <c r="F70" s="32">
        <v>0</v>
      </c>
      <c r="G70" s="32">
        <v>20.36</v>
      </c>
      <c r="H70" s="32">
        <v>14947.64</v>
      </c>
      <c r="I70" s="32">
        <v>14947.64</v>
      </c>
      <c r="J70" s="32">
        <v>0</v>
      </c>
      <c r="K70" s="32">
        <v>16.170000000000002</v>
      </c>
      <c r="L70" s="32">
        <v>14947.64</v>
      </c>
      <c r="M70" s="32">
        <v>14947.64</v>
      </c>
      <c r="N70" s="32">
        <v>0</v>
      </c>
      <c r="O70" s="32">
        <v>17.82</v>
      </c>
      <c r="P70" s="4">
        <v>14947.64</v>
      </c>
      <c r="Q70" s="4">
        <v>14947.64</v>
      </c>
      <c r="R70" s="5">
        <v>0</v>
      </c>
      <c r="S70" s="5">
        <v>1.53</v>
      </c>
      <c r="T70" s="4">
        <v>14947.64</v>
      </c>
      <c r="U70" s="4">
        <v>14947.64</v>
      </c>
      <c r="V70" s="5">
        <v>0</v>
      </c>
      <c r="W70" s="5">
        <v>2.58</v>
      </c>
      <c r="X70" s="4">
        <v>14947.64</v>
      </c>
      <c r="Y70" s="4">
        <v>14947.64</v>
      </c>
      <c r="Z70" s="5">
        <v>0</v>
      </c>
      <c r="AA70" s="5">
        <v>2.97</v>
      </c>
    </row>
    <row r="71" spans="1:27">
      <c r="A71" s="100"/>
      <c r="B71" s="100"/>
      <c r="C71" s="103"/>
      <c r="D71" s="32">
        <v>17866.099999999999</v>
      </c>
      <c r="E71" s="32">
        <v>17866.099999999999</v>
      </c>
      <c r="F71" s="32">
        <v>0</v>
      </c>
      <c r="G71" s="32">
        <v>20.27</v>
      </c>
      <c r="H71" s="32">
        <v>17866.099999999999</v>
      </c>
      <c r="I71" s="32">
        <v>17866.099999999999</v>
      </c>
      <c r="J71" s="32">
        <v>0</v>
      </c>
      <c r="K71" s="32">
        <v>18.43</v>
      </c>
      <c r="L71" s="32">
        <v>17866.099999999999</v>
      </c>
      <c r="M71" s="32">
        <v>17866.099999999999</v>
      </c>
      <c r="N71" s="32">
        <v>0</v>
      </c>
      <c r="O71" s="32">
        <v>22.46</v>
      </c>
      <c r="P71" s="4">
        <v>17866.099999999999</v>
      </c>
      <c r="Q71" s="4">
        <v>17866.099999999999</v>
      </c>
      <c r="R71" s="5">
        <v>0</v>
      </c>
      <c r="S71" s="5">
        <v>1.1299999999999999</v>
      </c>
      <c r="T71" s="4">
        <v>17866.099999999999</v>
      </c>
      <c r="U71" s="4">
        <v>17866.099999999999</v>
      </c>
      <c r="V71" s="5">
        <v>0</v>
      </c>
      <c r="W71" s="5">
        <v>1.84</v>
      </c>
      <c r="X71" s="4">
        <v>17866.099999999999</v>
      </c>
      <c r="Y71" s="4">
        <v>17866.099999999999</v>
      </c>
      <c r="Z71" s="5">
        <v>0</v>
      </c>
      <c r="AA71" s="5">
        <v>2.93</v>
      </c>
    </row>
    <row r="72" spans="1:27">
      <c r="A72" s="100"/>
      <c r="B72" s="100"/>
      <c r="C72" s="41"/>
      <c r="D72" s="38">
        <f t="shared" ref="D72:AA72" si="6">AVERAGE(D62:D71)</f>
        <v>26584.359999999997</v>
      </c>
      <c r="E72" s="38">
        <f t="shared" si="6"/>
        <v>26584.357999999997</v>
      </c>
      <c r="F72" s="38">
        <f t="shared" si="6"/>
        <v>0</v>
      </c>
      <c r="G72" s="38">
        <f t="shared" si="6"/>
        <v>22.530000000000005</v>
      </c>
      <c r="H72" s="38">
        <f t="shared" si="6"/>
        <v>26584.359999999997</v>
      </c>
      <c r="I72" s="38">
        <f t="shared" si="6"/>
        <v>26584.357999999997</v>
      </c>
      <c r="J72" s="38">
        <f t="shared" si="6"/>
        <v>0</v>
      </c>
      <c r="K72" s="38">
        <f t="shared" si="6"/>
        <v>19.246000000000002</v>
      </c>
      <c r="L72" s="38">
        <f t="shared" si="6"/>
        <v>26584.359999999997</v>
      </c>
      <c r="M72" s="38">
        <f t="shared" si="6"/>
        <v>26584.357999999997</v>
      </c>
      <c r="N72" s="38">
        <f t="shared" si="6"/>
        <v>0</v>
      </c>
      <c r="O72" s="38">
        <f t="shared" si="6"/>
        <v>23.565999999999999</v>
      </c>
      <c r="P72" s="38">
        <f t="shared" si="6"/>
        <v>26584.359999999997</v>
      </c>
      <c r="Q72" s="38">
        <f t="shared" si="6"/>
        <v>26584.359999999997</v>
      </c>
      <c r="R72" s="37">
        <f t="shared" si="6"/>
        <v>0</v>
      </c>
      <c r="S72" s="38">
        <f t="shared" si="6"/>
        <v>0.628</v>
      </c>
      <c r="T72" s="38">
        <f t="shared" si="6"/>
        <v>26584.359999999997</v>
      </c>
      <c r="U72" s="38">
        <f t="shared" si="6"/>
        <v>26584.359999999997</v>
      </c>
      <c r="V72" s="38">
        <f t="shared" si="6"/>
        <v>0</v>
      </c>
      <c r="W72" s="38">
        <f t="shared" si="6"/>
        <v>1.0559999999999998</v>
      </c>
      <c r="X72" s="38">
        <f t="shared" si="6"/>
        <v>26584.359999999997</v>
      </c>
      <c r="Y72" s="38">
        <f t="shared" si="6"/>
        <v>26584.359999999997</v>
      </c>
      <c r="Z72" s="38">
        <f t="shared" si="6"/>
        <v>0</v>
      </c>
      <c r="AA72" s="38">
        <f t="shared" si="6"/>
        <v>1.6500000000000004</v>
      </c>
    </row>
    <row r="73" spans="1:27">
      <c r="A73" s="100"/>
      <c r="B73" s="106">
        <v>15</v>
      </c>
      <c r="C73" s="107">
        <v>3</v>
      </c>
      <c r="D73" s="21">
        <v>222174.62</v>
      </c>
      <c r="E73" s="21">
        <v>222174.62</v>
      </c>
      <c r="F73" s="3">
        <v>0</v>
      </c>
      <c r="G73" s="21">
        <v>2877.98</v>
      </c>
      <c r="H73" s="21">
        <v>222174.62</v>
      </c>
      <c r="I73" s="21">
        <v>215502.13</v>
      </c>
      <c r="J73" s="21">
        <v>3</v>
      </c>
      <c r="K73" s="21">
        <v>3600.3</v>
      </c>
      <c r="L73" s="21">
        <v>222180.63</v>
      </c>
      <c r="M73" s="21">
        <v>202863.6</v>
      </c>
      <c r="N73" s="21">
        <v>8.69</v>
      </c>
      <c r="O73" s="21">
        <v>3600.07</v>
      </c>
      <c r="P73" s="21">
        <v>222174.62</v>
      </c>
      <c r="Q73" s="21">
        <v>222174.62</v>
      </c>
      <c r="R73" s="3">
        <v>0</v>
      </c>
      <c r="S73" s="21">
        <v>110.27</v>
      </c>
      <c r="T73" s="21">
        <v>222174.62</v>
      </c>
      <c r="U73" s="21">
        <v>222174.62</v>
      </c>
      <c r="V73" s="21">
        <v>0</v>
      </c>
      <c r="W73" s="21">
        <v>272.51</v>
      </c>
      <c r="X73" s="21">
        <v>222174.62</v>
      </c>
      <c r="Y73" s="21">
        <v>222174.62</v>
      </c>
      <c r="Z73" s="21">
        <v>0</v>
      </c>
      <c r="AA73" s="21">
        <v>563.77</v>
      </c>
    </row>
    <row r="74" spans="1:27">
      <c r="A74" s="100"/>
      <c r="B74" s="106"/>
      <c r="C74" s="107"/>
      <c r="D74" s="21">
        <v>89071.37</v>
      </c>
      <c r="E74" s="21">
        <v>89071.37</v>
      </c>
      <c r="F74" s="3">
        <v>0</v>
      </c>
      <c r="G74" s="21">
        <v>3362.15</v>
      </c>
      <c r="H74" s="21">
        <v>89071.37</v>
      </c>
      <c r="I74" s="21">
        <v>87792.25</v>
      </c>
      <c r="J74" s="21">
        <v>1.44</v>
      </c>
      <c r="K74" s="21">
        <v>3600.02</v>
      </c>
      <c r="L74" s="21">
        <v>89071.37</v>
      </c>
      <c r="M74" s="21">
        <v>82731.710000000006</v>
      </c>
      <c r="N74" s="21">
        <v>7.12</v>
      </c>
      <c r="O74" s="21">
        <v>3600.04</v>
      </c>
      <c r="P74" s="21">
        <v>89071.37</v>
      </c>
      <c r="Q74" s="21">
        <v>89071.37</v>
      </c>
      <c r="R74" s="3">
        <v>0</v>
      </c>
      <c r="S74" s="21">
        <v>111.44</v>
      </c>
      <c r="T74" s="21">
        <v>89071.37</v>
      </c>
      <c r="U74" s="21">
        <v>89071.37</v>
      </c>
      <c r="V74" s="21">
        <v>0</v>
      </c>
      <c r="W74" s="21">
        <v>322.11</v>
      </c>
      <c r="X74" s="21">
        <v>89071.37</v>
      </c>
      <c r="Y74" s="21">
        <v>89071.37</v>
      </c>
      <c r="Z74" s="21">
        <v>0</v>
      </c>
      <c r="AA74" s="21">
        <v>421.72</v>
      </c>
    </row>
    <row r="75" spans="1:27">
      <c r="A75" s="100"/>
      <c r="B75" s="106"/>
      <c r="C75" s="107"/>
      <c r="D75" s="21">
        <v>76652.92</v>
      </c>
      <c r="E75" s="21">
        <v>76652.92</v>
      </c>
      <c r="F75" s="3">
        <v>0</v>
      </c>
      <c r="G75" s="21">
        <v>3281.14</v>
      </c>
      <c r="H75" s="21">
        <v>76652.92</v>
      </c>
      <c r="I75" s="21">
        <v>72636.44</v>
      </c>
      <c r="J75" s="21">
        <v>5.24</v>
      </c>
      <c r="K75" s="21">
        <v>3600.07</v>
      </c>
      <c r="L75" s="21">
        <v>76652.92</v>
      </c>
      <c r="M75" s="21">
        <v>70110.12</v>
      </c>
      <c r="N75" s="21">
        <v>8.5399999999999991</v>
      </c>
      <c r="O75" s="21">
        <v>3600.38</v>
      </c>
      <c r="P75" s="21">
        <v>76652.92</v>
      </c>
      <c r="Q75" s="21">
        <v>76652.92</v>
      </c>
      <c r="R75" s="3">
        <v>0</v>
      </c>
      <c r="S75" s="21">
        <v>132.24</v>
      </c>
      <c r="T75" s="21">
        <v>76652.92</v>
      </c>
      <c r="U75" s="21">
        <v>76652.92</v>
      </c>
      <c r="V75" s="21">
        <v>0</v>
      </c>
      <c r="W75" s="21">
        <v>227.77</v>
      </c>
      <c r="X75" s="21">
        <v>76652.92</v>
      </c>
      <c r="Y75" s="21">
        <v>76652.92</v>
      </c>
      <c r="Z75" s="21">
        <v>0</v>
      </c>
      <c r="AA75" s="21">
        <v>548.57000000000005</v>
      </c>
    </row>
    <row r="76" spans="1:27">
      <c r="A76" s="100"/>
      <c r="B76" s="106"/>
      <c r="C76" s="107"/>
      <c r="D76" s="21">
        <v>225200.75</v>
      </c>
      <c r="E76" s="21">
        <v>225200.75</v>
      </c>
      <c r="F76" s="21">
        <v>0</v>
      </c>
      <c r="G76" s="21">
        <v>2596.9</v>
      </c>
      <c r="H76" s="21">
        <v>225200.75</v>
      </c>
      <c r="I76" s="21">
        <v>225200.75</v>
      </c>
      <c r="J76" s="21">
        <v>0</v>
      </c>
      <c r="K76" s="21">
        <v>2964.5</v>
      </c>
      <c r="L76" s="21">
        <v>225200.75</v>
      </c>
      <c r="M76" s="21">
        <v>225200.75</v>
      </c>
      <c r="N76" s="21">
        <v>0</v>
      </c>
      <c r="O76" s="21">
        <v>3096.27</v>
      </c>
      <c r="P76" s="21">
        <v>225200.75</v>
      </c>
      <c r="Q76" s="21">
        <v>225200.75</v>
      </c>
      <c r="R76" s="3">
        <v>0</v>
      </c>
      <c r="S76" s="21">
        <v>82.27</v>
      </c>
      <c r="T76" s="21">
        <v>225200.75</v>
      </c>
      <c r="U76" s="21">
        <v>225200.75</v>
      </c>
      <c r="V76" s="21">
        <v>0</v>
      </c>
      <c r="W76" s="21">
        <v>159.41</v>
      </c>
      <c r="X76" s="21">
        <v>225200.75</v>
      </c>
      <c r="Y76" s="21">
        <v>225200.75</v>
      </c>
      <c r="Z76" s="21">
        <v>0</v>
      </c>
      <c r="AA76" s="21">
        <v>286.83999999999997</v>
      </c>
    </row>
    <row r="77" spans="1:27">
      <c r="A77" s="100"/>
      <c r="B77" s="106"/>
      <c r="C77" s="107"/>
      <c r="D77" s="21">
        <v>147118.04</v>
      </c>
      <c r="E77" s="21">
        <v>147118.04</v>
      </c>
      <c r="F77" s="21">
        <v>0</v>
      </c>
      <c r="G77" s="21">
        <v>3240.13</v>
      </c>
      <c r="H77" s="21">
        <v>147118.04</v>
      </c>
      <c r="I77" s="21">
        <v>147118.04</v>
      </c>
      <c r="J77" s="21">
        <v>0</v>
      </c>
      <c r="K77" s="21">
        <v>3328.53</v>
      </c>
      <c r="L77" s="21">
        <v>147118.04</v>
      </c>
      <c r="M77" s="21">
        <v>139456.29</v>
      </c>
      <c r="N77" s="21">
        <v>5.21</v>
      </c>
      <c r="O77" s="21">
        <v>3600.03</v>
      </c>
      <c r="P77" s="21">
        <v>147118.04</v>
      </c>
      <c r="Q77" s="21">
        <v>147118.04</v>
      </c>
      <c r="R77" s="3">
        <v>0</v>
      </c>
      <c r="S77" s="21">
        <v>93.17</v>
      </c>
      <c r="T77" s="21">
        <v>147118.04</v>
      </c>
      <c r="U77" s="21">
        <v>147118.04</v>
      </c>
      <c r="V77" s="21">
        <v>0</v>
      </c>
      <c r="W77" s="21">
        <v>256.45</v>
      </c>
      <c r="X77" s="21">
        <v>147118.04</v>
      </c>
      <c r="Y77" s="21">
        <v>147118.04</v>
      </c>
      <c r="Z77" s="21">
        <v>0</v>
      </c>
      <c r="AA77" s="21">
        <v>365.49</v>
      </c>
    </row>
    <row r="78" spans="1:27">
      <c r="A78" s="100"/>
      <c r="B78" s="106"/>
      <c r="C78" s="107">
        <v>4</v>
      </c>
      <c r="D78" s="32">
        <v>60044.97</v>
      </c>
      <c r="E78" s="32">
        <v>51614.31</v>
      </c>
      <c r="F78" s="32">
        <v>14.04</v>
      </c>
      <c r="G78" s="32">
        <v>3600.02</v>
      </c>
      <c r="H78" s="32">
        <v>59957.3</v>
      </c>
      <c r="I78" s="32">
        <v>49434.25</v>
      </c>
      <c r="J78" s="32">
        <v>17.55</v>
      </c>
      <c r="K78" s="32">
        <v>3600.15</v>
      </c>
      <c r="L78" s="32">
        <v>60044.97</v>
      </c>
      <c r="M78" s="32">
        <v>46746.94</v>
      </c>
      <c r="N78" s="32">
        <v>22.15</v>
      </c>
      <c r="O78" s="32">
        <v>3600.1</v>
      </c>
      <c r="P78" s="32">
        <v>59726.400000000001</v>
      </c>
      <c r="Q78" s="32">
        <v>59726.400000000001</v>
      </c>
      <c r="R78" s="5">
        <v>0</v>
      </c>
      <c r="S78" s="32">
        <v>299.43</v>
      </c>
      <c r="T78" s="32">
        <v>59726.400000000001</v>
      </c>
      <c r="U78" s="32">
        <v>59726.400000000001</v>
      </c>
      <c r="V78" s="32">
        <v>0</v>
      </c>
      <c r="W78" s="32">
        <v>519.96</v>
      </c>
      <c r="X78" s="32">
        <v>59726.400000000001</v>
      </c>
      <c r="Y78" s="32">
        <v>59726.400000000001</v>
      </c>
      <c r="Z78" s="32">
        <v>0</v>
      </c>
      <c r="AA78" s="32">
        <v>918.43</v>
      </c>
    </row>
    <row r="79" spans="1:27">
      <c r="A79" s="100"/>
      <c r="B79" s="106"/>
      <c r="C79" s="107"/>
      <c r="D79" s="32">
        <v>62634.559999999998</v>
      </c>
      <c r="E79" s="32">
        <v>56119.89</v>
      </c>
      <c r="F79" s="32">
        <v>10.4</v>
      </c>
      <c r="G79" s="32">
        <v>3600.02</v>
      </c>
      <c r="H79" s="32">
        <v>63659.06</v>
      </c>
      <c r="I79" s="32">
        <v>53017.73</v>
      </c>
      <c r="J79" s="32">
        <v>16.72</v>
      </c>
      <c r="K79" s="32">
        <v>3600.04</v>
      </c>
      <c r="L79" s="32">
        <v>62634.559999999998</v>
      </c>
      <c r="M79" s="32">
        <v>51204.13</v>
      </c>
      <c r="N79" s="32">
        <v>18.25</v>
      </c>
      <c r="O79" s="32">
        <v>3600.03</v>
      </c>
      <c r="P79" s="32">
        <v>62634.559999999998</v>
      </c>
      <c r="Q79" s="32">
        <v>62634.559999999998</v>
      </c>
      <c r="R79" s="5">
        <v>0</v>
      </c>
      <c r="S79" s="32">
        <v>422.82</v>
      </c>
      <c r="T79" s="32">
        <v>62634.559999999998</v>
      </c>
      <c r="U79" s="32">
        <v>62634.559999999998</v>
      </c>
      <c r="V79" s="32">
        <v>0</v>
      </c>
      <c r="W79" s="32">
        <v>437.27</v>
      </c>
      <c r="X79" s="32">
        <v>62634.559999999998</v>
      </c>
      <c r="Y79" s="32">
        <v>62634.559999999998</v>
      </c>
      <c r="Z79" s="32">
        <v>0</v>
      </c>
      <c r="AA79" s="32">
        <v>1175.27</v>
      </c>
    </row>
    <row r="80" spans="1:27">
      <c r="A80" s="100"/>
      <c r="B80" s="106"/>
      <c r="C80" s="107"/>
      <c r="D80" s="32">
        <v>65863.39</v>
      </c>
      <c r="E80" s="32">
        <v>62517.82</v>
      </c>
      <c r="F80" s="32">
        <v>5.08</v>
      </c>
      <c r="G80" s="32">
        <v>3600.02</v>
      </c>
      <c r="H80" s="32">
        <v>65863.42</v>
      </c>
      <c r="I80" s="32">
        <v>59688.2</v>
      </c>
      <c r="J80" s="32">
        <v>9.3800000000000008</v>
      </c>
      <c r="K80" s="32">
        <v>3600.02</v>
      </c>
      <c r="L80" s="32">
        <v>65863.42</v>
      </c>
      <c r="M80" s="32">
        <v>58957.23</v>
      </c>
      <c r="N80" s="32">
        <v>10.49</v>
      </c>
      <c r="O80" s="32">
        <v>3600.02</v>
      </c>
      <c r="P80" s="32">
        <v>65863.42</v>
      </c>
      <c r="Q80" s="32">
        <v>65863.42</v>
      </c>
      <c r="R80" s="5">
        <v>0</v>
      </c>
      <c r="S80" s="32">
        <v>225.16</v>
      </c>
      <c r="T80" s="32">
        <v>65863.42</v>
      </c>
      <c r="U80" s="32">
        <v>65863.42</v>
      </c>
      <c r="V80" s="32">
        <v>0</v>
      </c>
      <c r="W80" s="32">
        <v>252.48</v>
      </c>
      <c r="X80" s="32">
        <v>65863.42</v>
      </c>
      <c r="Y80" s="32">
        <v>65863.42</v>
      </c>
      <c r="Z80" s="32">
        <v>0</v>
      </c>
      <c r="AA80" s="32">
        <v>705.36</v>
      </c>
    </row>
    <row r="81" spans="1:27">
      <c r="A81" s="100"/>
      <c r="B81" s="106"/>
      <c r="C81" s="107"/>
      <c r="D81" s="32">
        <v>49125.02</v>
      </c>
      <c r="E81" s="32">
        <v>44095.97</v>
      </c>
      <c r="F81" s="32">
        <v>10.24</v>
      </c>
      <c r="G81" s="32">
        <v>3600.13</v>
      </c>
      <c r="H81" s="32">
        <v>49125.02</v>
      </c>
      <c r="I81" s="32">
        <v>44056.2</v>
      </c>
      <c r="J81" s="32">
        <v>10.32</v>
      </c>
      <c r="K81" s="32">
        <v>3600.07</v>
      </c>
      <c r="L81" s="32">
        <v>49084.07</v>
      </c>
      <c r="M81" s="32">
        <v>41904.21</v>
      </c>
      <c r="N81" s="32">
        <v>14.63</v>
      </c>
      <c r="O81" s="32">
        <v>3600.07</v>
      </c>
      <c r="P81" s="32">
        <v>49084.07</v>
      </c>
      <c r="Q81" s="32">
        <v>49084.07</v>
      </c>
      <c r="R81" s="5">
        <v>0</v>
      </c>
      <c r="S81" s="32">
        <v>309.56</v>
      </c>
      <c r="T81" s="32">
        <v>49084.07</v>
      </c>
      <c r="U81" s="32">
        <v>49084.07</v>
      </c>
      <c r="V81" s="32">
        <v>0</v>
      </c>
      <c r="W81" s="32">
        <v>386.29</v>
      </c>
      <c r="X81" s="32">
        <v>49084.07</v>
      </c>
      <c r="Y81" s="32">
        <v>49084.07</v>
      </c>
      <c r="Z81" s="32">
        <v>0</v>
      </c>
      <c r="AA81" s="32">
        <v>611.67999999999995</v>
      </c>
    </row>
    <row r="82" spans="1:27">
      <c r="A82" s="100"/>
      <c r="B82" s="106"/>
      <c r="C82" s="107"/>
      <c r="D82" s="32">
        <v>43517.04</v>
      </c>
      <c r="E82" s="32">
        <v>41340.94</v>
      </c>
      <c r="F82" s="32">
        <v>5</v>
      </c>
      <c r="G82" s="32">
        <v>3600.03</v>
      </c>
      <c r="H82" s="32">
        <v>43585.38</v>
      </c>
      <c r="I82" s="32">
        <v>40158.550000000003</v>
      </c>
      <c r="J82" s="32">
        <v>7.86</v>
      </c>
      <c r="K82" s="32">
        <v>3600.02</v>
      </c>
      <c r="L82" s="32">
        <v>43585.38</v>
      </c>
      <c r="M82" s="32">
        <v>39011.82</v>
      </c>
      <c r="N82" s="32">
        <v>10.49</v>
      </c>
      <c r="O82" s="32">
        <v>3600.03</v>
      </c>
      <c r="P82" s="32">
        <v>43517.04</v>
      </c>
      <c r="Q82" s="32">
        <v>43517.04</v>
      </c>
      <c r="R82" s="5">
        <v>0</v>
      </c>
      <c r="S82" s="32">
        <v>328.12</v>
      </c>
      <c r="T82" s="32">
        <v>43517.04</v>
      </c>
      <c r="U82" s="32">
        <v>43517.04</v>
      </c>
      <c r="V82" s="32">
        <v>0</v>
      </c>
      <c r="W82" s="32">
        <v>329.61</v>
      </c>
      <c r="X82" s="32">
        <v>43517.04</v>
      </c>
      <c r="Y82" s="32">
        <v>43517.04</v>
      </c>
      <c r="Z82" s="32">
        <v>0</v>
      </c>
      <c r="AA82" s="32">
        <v>646.4</v>
      </c>
    </row>
    <row r="83" spans="1:27">
      <c r="A83" s="100"/>
      <c r="B83" s="106"/>
      <c r="C83" s="42"/>
      <c r="D83" s="33">
        <f t="shared" ref="D83:AA83" si="7">AVERAGE(D73:D82)</f>
        <v>104140.26800000001</v>
      </c>
      <c r="E83" s="33">
        <f t="shared" si="7"/>
        <v>101590.66299999999</v>
      </c>
      <c r="F83" s="33">
        <f t="shared" si="7"/>
        <v>4.476</v>
      </c>
      <c r="G83" s="33">
        <f t="shared" si="7"/>
        <v>3335.8520000000003</v>
      </c>
      <c r="H83" s="33">
        <f t="shared" si="7"/>
        <v>104240.78800000002</v>
      </c>
      <c r="I83" s="33">
        <f t="shared" si="7"/>
        <v>99460.453999999998</v>
      </c>
      <c r="J83" s="33">
        <f t="shared" si="7"/>
        <v>7.1510000000000007</v>
      </c>
      <c r="K83" s="33">
        <f t="shared" si="7"/>
        <v>3509.3720000000003</v>
      </c>
      <c r="L83" s="33">
        <f t="shared" si="7"/>
        <v>104143.611</v>
      </c>
      <c r="M83" s="33">
        <f t="shared" si="7"/>
        <v>95818.679999999978</v>
      </c>
      <c r="N83" s="33">
        <f t="shared" si="7"/>
        <v>10.556999999999999</v>
      </c>
      <c r="O83" s="33">
        <f t="shared" si="7"/>
        <v>3549.7040000000002</v>
      </c>
      <c r="P83" s="33">
        <f t="shared" si="7"/>
        <v>104104.31899999999</v>
      </c>
      <c r="Q83" s="33">
        <f t="shared" si="7"/>
        <v>104104.31899999999</v>
      </c>
      <c r="R83" s="8">
        <f t="shared" si="7"/>
        <v>0</v>
      </c>
      <c r="S83" s="33">
        <f t="shared" si="7"/>
        <v>211.44800000000001</v>
      </c>
      <c r="T83" s="33">
        <f t="shared" si="7"/>
        <v>104104.31899999999</v>
      </c>
      <c r="U83" s="33">
        <f t="shared" si="7"/>
        <v>104104.31899999999</v>
      </c>
      <c r="V83" s="33">
        <f t="shared" si="7"/>
        <v>0</v>
      </c>
      <c r="W83" s="33">
        <f t="shared" si="7"/>
        <v>316.38600000000002</v>
      </c>
      <c r="X83" s="33">
        <f t="shared" si="7"/>
        <v>104104.31899999999</v>
      </c>
      <c r="Y83" s="33">
        <f t="shared" si="7"/>
        <v>104104.31899999999</v>
      </c>
      <c r="Z83" s="33">
        <f t="shared" si="7"/>
        <v>0</v>
      </c>
      <c r="AA83" s="33">
        <f t="shared" si="7"/>
        <v>624.35299999999995</v>
      </c>
    </row>
    <row r="84" spans="1:27">
      <c r="A84" s="100"/>
      <c r="B84" s="105">
        <v>20</v>
      </c>
      <c r="C84" s="104">
        <v>4</v>
      </c>
      <c r="D84" s="21">
        <v>142859.10999999999</v>
      </c>
      <c r="E84" s="21">
        <v>23345.07</v>
      </c>
      <c r="F84" s="21">
        <v>83.66</v>
      </c>
      <c r="G84" s="21">
        <v>3600.38</v>
      </c>
      <c r="H84" s="21">
        <v>134524.54</v>
      </c>
      <c r="I84" s="21">
        <v>29899.16</v>
      </c>
      <c r="J84" s="21">
        <v>77.77</v>
      </c>
      <c r="K84" s="21">
        <v>3600.54</v>
      </c>
      <c r="L84" s="21">
        <v>150720.32999999999</v>
      </c>
      <c r="M84" s="21">
        <v>33503.879999999997</v>
      </c>
      <c r="N84" s="21">
        <v>77.77</v>
      </c>
      <c r="O84" s="21">
        <v>3600.06</v>
      </c>
      <c r="P84" s="3">
        <v>125765.65</v>
      </c>
      <c r="Q84" s="3">
        <v>49203.53</v>
      </c>
      <c r="R84" s="3">
        <v>60.88</v>
      </c>
      <c r="S84" s="3">
        <v>3600.28</v>
      </c>
      <c r="T84" s="3">
        <v>125376.76</v>
      </c>
      <c r="U84" s="3">
        <v>55109.34</v>
      </c>
      <c r="V84" s="3">
        <v>56.05</v>
      </c>
      <c r="W84" s="3">
        <v>3600.14</v>
      </c>
      <c r="X84" s="3">
        <v>127074.84</v>
      </c>
      <c r="Y84" s="3">
        <v>48223.71</v>
      </c>
      <c r="Z84" s="3">
        <v>62.05</v>
      </c>
      <c r="AA84" s="3">
        <v>3600.2</v>
      </c>
    </row>
    <row r="85" spans="1:27">
      <c r="A85" s="100"/>
      <c r="B85" s="100"/>
      <c r="C85" s="102"/>
      <c r="D85" s="21">
        <v>233008</v>
      </c>
      <c r="E85" s="21">
        <v>30346.84</v>
      </c>
      <c r="F85" s="21">
        <v>86.98</v>
      </c>
      <c r="G85" s="21">
        <v>3600.03</v>
      </c>
      <c r="H85" s="21">
        <v>219039.73</v>
      </c>
      <c r="I85" s="21">
        <v>39096.57</v>
      </c>
      <c r="J85" s="21">
        <v>82.15</v>
      </c>
      <c r="K85" s="21">
        <v>3600.41</v>
      </c>
      <c r="L85" s="21">
        <v>229521.43</v>
      </c>
      <c r="M85" s="21">
        <v>33986.39</v>
      </c>
      <c r="N85" s="21">
        <v>85.19</v>
      </c>
      <c r="O85" s="21">
        <v>3600.34</v>
      </c>
      <c r="P85" s="3">
        <v>204025.15</v>
      </c>
      <c r="Q85" s="3">
        <v>79690.740000000005</v>
      </c>
      <c r="R85" s="3">
        <v>60.94</v>
      </c>
      <c r="S85" s="3">
        <v>3600.09</v>
      </c>
      <c r="T85" s="3">
        <v>204640.24</v>
      </c>
      <c r="U85" s="3">
        <v>75815.08</v>
      </c>
      <c r="V85" s="3">
        <v>62.95</v>
      </c>
      <c r="W85" s="3">
        <v>3600.3</v>
      </c>
      <c r="X85" s="3">
        <v>205373.74</v>
      </c>
      <c r="Y85" s="3">
        <v>65960.45</v>
      </c>
      <c r="Z85" s="3">
        <v>67.88</v>
      </c>
      <c r="AA85" s="3">
        <v>3600.05</v>
      </c>
    </row>
    <row r="86" spans="1:27">
      <c r="A86" s="100"/>
      <c r="B86" s="100"/>
      <c r="C86" s="102"/>
      <c r="D86" s="21">
        <v>327976.45</v>
      </c>
      <c r="E86" s="21">
        <v>45727.91</v>
      </c>
      <c r="F86" s="21">
        <v>86.06</v>
      </c>
      <c r="G86" s="21">
        <v>3600.02</v>
      </c>
      <c r="H86" s="21">
        <v>392805.47</v>
      </c>
      <c r="I86" s="21">
        <v>46847.26</v>
      </c>
      <c r="J86" s="21">
        <v>88.07</v>
      </c>
      <c r="K86" s="21">
        <v>3600.09</v>
      </c>
      <c r="L86" s="21">
        <v>333309.24</v>
      </c>
      <c r="M86" s="21">
        <v>44022.080000000002</v>
      </c>
      <c r="N86" s="21">
        <v>86.79</v>
      </c>
      <c r="O86" s="21">
        <v>3600.04</v>
      </c>
      <c r="P86" s="3">
        <v>320603.45</v>
      </c>
      <c r="Q86" s="3">
        <v>89729.82</v>
      </c>
      <c r="R86" s="3">
        <v>72.010000000000005</v>
      </c>
      <c r="S86" s="3">
        <v>3600.03</v>
      </c>
      <c r="T86" s="3">
        <v>323422.77</v>
      </c>
      <c r="U86" s="3">
        <v>83207.899999999994</v>
      </c>
      <c r="V86" s="3">
        <v>74.27</v>
      </c>
      <c r="W86" s="3">
        <v>3600.09</v>
      </c>
      <c r="X86" s="3">
        <v>323218.31</v>
      </c>
      <c r="Y86" s="3">
        <v>70417.09</v>
      </c>
      <c r="Z86" s="3">
        <v>78.209999999999994</v>
      </c>
      <c r="AA86" s="3">
        <v>3600.06</v>
      </c>
    </row>
    <row r="87" spans="1:27">
      <c r="A87" s="100"/>
      <c r="B87" s="100"/>
      <c r="C87" s="102"/>
      <c r="D87" s="21">
        <v>179345.87</v>
      </c>
      <c r="E87" s="21">
        <v>28848.9</v>
      </c>
      <c r="F87" s="21">
        <v>83.91</v>
      </c>
      <c r="G87" s="21">
        <v>3600.05</v>
      </c>
      <c r="H87" s="21">
        <v>177023.52</v>
      </c>
      <c r="I87" s="21">
        <v>31033.95</v>
      </c>
      <c r="J87" s="21">
        <v>82.47</v>
      </c>
      <c r="K87" s="21">
        <v>3600.07</v>
      </c>
      <c r="L87" s="21">
        <v>184724.86</v>
      </c>
      <c r="M87" s="21">
        <v>31992.01</v>
      </c>
      <c r="N87" s="21">
        <v>82.68</v>
      </c>
      <c r="O87" s="21">
        <v>3600.23</v>
      </c>
      <c r="P87" s="3">
        <v>158569.81</v>
      </c>
      <c r="Q87" s="3">
        <v>63453.18</v>
      </c>
      <c r="R87" s="3">
        <v>59.98</v>
      </c>
      <c r="S87" s="3">
        <v>3600.08</v>
      </c>
      <c r="T87" s="3">
        <v>158607.24</v>
      </c>
      <c r="U87" s="3">
        <v>57537.23</v>
      </c>
      <c r="V87" s="3">
        <v>63.72</v>
      </c>
      <c r="W87" s="3">
        <v>3600.1</v>
      </c>
      <c r="X87" s="3">
        <v>159544.32000000001</v>
      </c>
      <c r="Y87" s="3">
        <v>52931.64</v>
      </c>
      <c r="Z87" s="3">
        <v>66.819999999999993</v>
      </c>
      <c r="AA87" s="3">
        <v>3600.24</v>
      </c>
    </row>
    <row r="88" spans="1:27">
      <c r="A88" s="100"/>
      <c r="B88" s="100"/>
      <c r="C88" s="103"/>
      <c r="D88" s="21">
        <v>115089.75</v>
      </c>
      <c r="E88" s="21">
        <v>21344.46</v>
      </c>
      <c r="F88" s="21">
        <v>81.45</v>
      </c>
      <c r="G88" s="21">
        <v>3600.09</v>
      </c>
      <c r="H88" s="21">
        <v>118493.75</v>
      </c>
      <c r="I88" s="21">
        <v>26602.560000000001</v>
      </c>
      <c r="J88" s="21">
        <v>77.55</v>
      </c>
      <c r="K88" s="21">
        <v>3600.25</v>
      </c>
      <c r="L88" s="21">
        <v>126014.86</v>
      </c>
      <c r="M88" s="21">
        <v>24432.28</v>
      </c>
      <c r="N88" s="21">
        <v>80.61</v>
      </c>
      <c r="O88" s="21">
        <v>3600.02</v>
      </c>
      <c r="P88" s="3">
        <v>106705.12</v>
      </c>
      <c r="Q88" s="3">
        <v>43697.56</v>
      </c>
      <c r="R88" s="3">
        <v>59.05</v>
      </c>
      <c r="S88" s="3">
        <v>3600.09</v>
      </c>
      <c r="T88" s="3">
        <v>108052.54</v>
      </c>
      <c r="U88" s="3">
        <v>40526.42</v>
      </c>
      <c r="V88" s="3">
        <v>62.49</v>
      </c>
      <c r="W88" s="3">
        <v>3600.04</v>
      </c>
      <c r="X88" s="3">
        <v>109360.77</v>
      </c>
      <c r="Y88" s="3">
        <v>41496.050000000003</v>
      </c>
      <c r="Z88" s="3">
        <v>62.06</v>
      </c>
      <c r="AA88" s="3">
        <v>3600.03</v>
      </c>
    </row>
    <row r="89" spans="1:27">
      <c r="A89" s="100"/>
      <c r="B89" s="100"/>
      <c r="C89" s="104">
        <v>5</v>
      </c>
      <c r="D89" s="32">
        <v>129793.58</v>
      </c>
      <c r="E89" s="32">
        <v>24725.33</v>
      </c>
      <c r="F89" s="32">
        <v>80.95</v>
      </c>
      <c r="G89" s="32">
        <v>3600.01</v>
      </c>
      <c r="H89" s="32">
        <v>146867.66</v>
      </c>
      <c r="I89" s="32">
        <v>37846.39</v>
      </c>
      <c r="J89" s="32">
        <v>74.23</v>
      </c>
      <c r="K89" s="32">
        <v>3600.05</v>
      </c>
      <c r="L89" s="32">
        <v>144260.81</v>
      </c>
      <c r="M89" s="32">
        <v>35224.75</v>
      </c>
      <c r="N89" s="32">
        <v>75.58</v>
      </c>
      <c r="O89" s="32">
        <v>3600.07</v>
      </c>
      <c r="P89" s="5">
        <v>117317.56</v>
      </c>
      <c r="Q89" s="5">
        <v>55130.54</v>
      </c>
      <c r="R89" s="5">
        <v>53.01</v>
      </c>
      <c r="S89" s="5">
        <v>3600.02</v>
      </c>
      <c r="T89" s="5">
        <v>118264.1</v>
      </c>
      <c r="U89" s="5">
        <v>55401.68</v>
      </c>
      <c r="V89" s="5">
        <v>53.15</v>
      </c>
      <c r="W89" s="5">
        <v>3600.08</v>
      </c>
      <c r="X89" s="5">
        <v>117828.47</v>
      </c>
      <c r="Y89" s="5">
        <v>49815.32</v>
      </c>
      <c r="Z89" s="5">
        <v>57.72</v>
      </c>
      <c r="AA89" s="5">
        <v>3600.08</v>
      </c>
    </row>
    <row r="90" spans="1:27">
      <c r="A90" s="100"/>
      <c r="B90" s="100"/>
      <c r="C90" s="102"/>
      <c r="D90" s="32">
        <v>131048.82</v>
      </c>
      <c r="E90" s="32">
        <v>39888.120000000003</v>
      </c>
      <c r="F90" s="32">
        <v>69.56</v>
      </c>
      <c r="G90" s="32">
        <v>3600.93</v>
      </c>
      <c r="H90" s="32">
        <v>126955.7</v>
      </c>
      <c r="I90" s="32">
        <v>45369.66</v>
      </c>
      <c r="J90" s="32">
        <v>64.260000000000005</v>
      </c>
      <c r="K90" s="32">
        <v>3600.06</v>
      </c>
      <c r="L90" s="32">
        <v>123354.29</v>
      </c>
      <c r="M90" s="32">
        <v>44117.29</v>
      </c>
      <c r="N90" s="32">
        <v>64.239999999999995</v>
      </c>
      <c r="O90" s="32">
        <v>3600.09</v>
      </c>
      <c r="P90" s="5">
        <v>113524.66</v>
      </c>
      <c r="Q90" s="5">
        <v>68744.289999999994</v>
      </c>
      <c r="R90" s="5">
        <v>39.450000000000003</v>
      </c>
      <c r="S90" s="5">
        <v>3600.03</v>
      </c>
      <c r="T90" s="5">
        <v>113622.31</v>
      </c>
      <c r="U90" s="5">
        <v>69684.13</v>
      </c>
      <c r="V90" s="5">
        <v>38.67</v>
      </c>
      <c r="W90" s="5">
        <v>3600.02</v>
      </c>
      <c r="X90" s="5">
        <v>113591.89</v>
      </c>
      <c r="Y90" s="5">
        <v>62724.77</v>
      </c>
      <c r="Z90" s="5">
        <v>44.78</v>
      </c>
      <c r="AA90" s="5">
        <v>3600.09</v>
      </c>
    </row>
    <row r="91" spans="1:27">
      <c r="A91" s="100"/>
      <c r="B91" s="100"/>
      <c r="C91" s="102"/>
      <c r="D91" s="32">
        <v>87072.93</v>
      </c>
      <c r="E91" s="32">
        <v>23108.28</v>
      </c>
      <c r="F91" s="32">
        <v>73.459999999999994</v>
      </c>
      <c r="G91" s="32">
        <v>3600.3</v>
      </c>
      <c r="H91" s="32">
        <v>89864.98</v>
      </c>
      <c r="I91" s="32">
        <v>29424.57</v>
      </c>
      <c r="J91" s="32">
        <v>67.260000000000005</v>
      </c>
      <c r="K91" s="32">
        <v>3600.05</v>
      </c>
      <c r="L91" s="32">
        <v>92123.47</v>
      </c>
      <c r="M91" s="32">
        <v>27867.37</v>
      </c>
      <c r="N91" s="32">
        <v>69.75</v>
      </c>
      <c r="O91" s="32">
        <v>3600.02</v>
      </c>
      <c r="P91" s="5">
        <v>81368.149999999994</v>
      </c>
      <c r="Q91" s="5">
        <v>41538.589999999997</v>
      </c>
      <c r="R91" s="5">
        <v>48.95</v>
      </c>
      <c r="S91" s="5">
        <v>3600.08</v>
      </c>
      <c r="T91" s="5">
        <v>81054.350000000006</v>
      </c>
      <c r="U91" s="5">
        <v>41906.21</v>
      </c>
      <c r="V91" s="5">
        <v>48.3</v>
      </c>
      <c r="W91" s="5">
        <v>3600.1</v>
      </c>
      <c r="X91" s="5">
        <v>82023.8</v>
      </c>
      <c r="Y91" s="5">
        <v>40779.879999999997</v>
      </c>
      <c r="Z91" s="5">
        <v>50.28</v>
      </c>
      <c r="AA91" s="5">
        <v>3600.01</v>
      </c>
    </row>
    <row r="92" spans="1:27">
      <c r="A92" s="100"/>
      <c r="B92" s="100"/>
      <c r="C92" s="102"/>
      <c r="D92" s="32">
        <v>106375.36</v>
      </c>
      <c r="E92" s="32">
        <v>28249.88</v>
      </c>
      <c r="F92" s="32">
        <v>73.44</v>
      </c>
      <c r="G92" s="32">
        <v>3600.76</v>
      </c>
      <c r="H92" s="32">
        <v>113004.22</v>
      </c>
      <c r="I92" s="32">
        <v>33334.32</v>
      </c>
      <c r="J92" s="32">
        <v>70.5</v>
      </c>
      <c r="K92" s="32">
        <v>3600.04</v>
      </c>
      <c r="L92" s="32">
        <v>114259.3</v>
      </c>
      <c r="M92" s="32">
        <v>29856.65</v>
      </c>
      <c r="N92" s="32">
        <v>73.87</v>
      </c>
      <c r="O92" s="32">
        <v>3600.23</v>
      </c>
      <c r="P92" s="5">
        <v>97614.23</v>
      </c>
      <c r="Q92" s="5">
        <v>46540.81</v>
      </c>
      <c r="R92" s="5">
        <v>52.32</v>
      </c>
      <c r="S92" s="5">
        <v>3600.02</v>
      </c>
      <c r="T92" s="5">
        <v>97614.23</v>
      </c>
      <c r="U92" s="5">
        <v>48587.09</v>
      </c>
      <c r="V92" s="5">
        <v>50.23</v>
      </c>
      <c r="W92" s="5">
        <v>3600.02</v>
      </c>
      <c r="X92" s="5">
        <v>98220.45</v>
      </c>
      <c r="Y92" s="5">
        <v>43378.49</v>
      </c>
      <c r="Z92" s="5">
        <v>55.84</v>
      </c>
      <c r="AA92" s="5">
        <v>3600.22</v>
      </c>
    </row>
    <row r="93" spans="1:27">
      <c r="A93" s="100"/>
      <c r="B93" s="100"/>
      <c r="C93" s="103"/>
      <c r="D93" s="32">
        <v>105530.41</v>
      </c>
      <c r="E93" s="32">
        <v>22334.71</v>
      </c>
      <c r="F93" s="32">
        <v>78.84</v>
      </c>
      <c r="G93" s="32">
        <v>3600.07</v>
      </c>
      <c r="H93" s="32">
        <v>120163.08</v>
      </c>
      <c r="I93" s="32">
        <v>31976.18</v>
      </c>
      <c r="J93" s="32">
        <v>73.39</v>
      </c>
      <c r="K93" s="32">
        <v>3600.08</v>
      </c>
      <c r="L93" s="32">
        <v>108992.74</v>
      </c>
      <c r="M93" s="32">
        <v>32243.75</v>
      </c>
      <c r="N93" s="32">
        <v>70.42</v>
      </c>
      <c r="O93" s="32">
        <v>3600.06</v>
      </c>
      <c r="P93" s="5">
        <v>100199.28</v>
      </c>
      <c r="Q93" s="5">
        <v>43581.34</v>
      </c>
      <c r="R93" s="5">
        <v>56.51</v>
      </c>
      <c r="S93" s="5">
        <v>3600.14</v>
      </c>
      <c r="T93" s="5">
        <v>100576.24</v>
      </c>
      <c r="U93" s="5">
        <v>48851.72</v>
      </c>
      <c r="V93" s="5">
        <v>51.43</v>
      </c>
      <c r="W93" s="5">
        <v>3600.02</v>
      </c>
      <c r="X93" s="5">
        <v>100701.15</v>
      </c>
      <c r="Y93" s="5">
        <v>47068.85</v>
      </c>
      <c r="Z93" s="5">
        <v>53.26</v>
      </c>
      <c r="AA93" s="5">
        <v>3600.09</v>
      </c>
    </row>
    <row r="94" spans="1:27">
      <c r="A94" s="100"/>
      <c r="B94" s="101"/>
      <c r="C94" s="8"/>
      <c r="D94" s="8">
        <f t="shared" ref="D94:AA94" si="8">AVERAGE(D84:D93)</f>
        <v>155810.02799999999</v>
      </c>
      <c r="E94" s="8">
        <f t="shared" si="8"/>
        <v>28791.95</v>
      </c>
      <c r="F94" s="8">
        <f t="shared" si="8"/>
        <v>79.831000000000003</v>
      </c>
      <c r="G94" s="8">
        <f t="shared" si="8"/>
        <v>3600.2640000000001</v>
      </c>
      <c r="H94" s="8">
        <f>AVERAGE(H84:H93)</f>
        <v>163874.26499999998</v>
      </c>
      <c r="I94" s="8">
        <f>AVERAGE(I84:I93)</f>
        <v>35143.061999999998</v>
      </c>
      <c r="J94" s="8">
        <f>AVERAGE(J84:J93)</f>
        <v>75.765000000000015</v>
      </c>
      <c r="K94" s="8">
        <f>AVERAGE(K84:K93)</f>
        <v>3600.1639999999998</v>
      </c>
      <c r="L94" s="8">
        <f t="shared" si="8"/>
        <v>160728.133</v>
      </c>
      <c r="M94" s="8">
        <f t="shared" si="8"/>
        <v>33724.645000000004</v>
      </c>
      <c r="N94" s="8">
        <f t="shared" si="8"/>
        <v>76.69</v>
      </c>
      <c r="O94" s="8">
        <f t="shared" si="8"/>
        <v>3600.1159999999995</v>
      </c>
      <c r="P94" s="8">
        <f t="shared" si="8"/>
        <v>142569.30599999998</v>
      </c>
      <c r="Q94" s="8">
        <f t="shared" si="8"/>
        <v>58131.040000000001</v>
      </c>
      <c r="R94" s="8">
        <f t="shared" si="8"/>
        <v>56.309999999999988</v>
      </c>
      <c r="S94" s="8">
        <f t="shared" si="8"/>
        <v>3600.0860000000002</v>
      </c>
      <c r="T94" s="8">
        <f t="shared" si="8"/>
        <v>143123.07800000001</v>
      </c>
      <c r="U94" s="8">
        <f t="shared" si="8"/>
        <v>57662.679999999993</v>
      </c>
      <c r="V94" s="8">
        <f t="shared" si="8"/>
        <v>56.125999999999998</v>
      </c>
      <c r="W94" s="8">
        <f t="shared" si="8"/>
        <v>3600.0909999999994</v>
      </c>
      <c r="X94" s="8">
        <f t="shared" si="8"/>
        <v>143693.77399999998</v>
      </c>
      <c r="Y94" s="8">
        <f t="shared" si="8"/>
        <v>52279.625</v>
      </c>
      <c r="Z94" s="8">
        <f t="shared" si="8"/>
        <v>59.89</v>
      </c>
      <c r="AA94" s="8">
        <f t="shared" si="8"/>
        <v>3600.1069999999991</v>
      </c>
    </row>
  </sheetData>
  <mergeCells count="35">
    <mergeCell ref="D1:O1"/>
    <mergeCell ref="P1:AA1"/>
    <mergeCell ref="D2:G2"/>
    <mergeCell ref="H2:K2"/>
    <mergeCell ref="L2:O2"/>
    <mergeCell ref="P2:S2"/>
    <mergeCell ref="T2:W2"/>
    <mergeCell ref="X2:AA2"/>
    <mergeCell ref="B26:B36"/>
    <mergeCell ref="C26:C30"/>
    <mergeCell ref="C31:C35"/>
    <mergeCell ref="B37:B47"/>
    <mergeCell ref="C37:C41"/>
    <mergeCell ref="C42:C46"/>
    <mergeCell ref="C4:C8"/>
    <mergeCell ref="C9:C13"/>
    <mergeCell ref="B15:B25"/>
    <mergeCell ref="C15:C19"/>
    <mergeCell ref="C20:C24"/>
    <mergeCell ref="A1:C2"/>
    <mergeCell ref="A51:A94"/>
    <mergeCell ref="B51:B61"/>
    <mergeCell ref="C51:C55"/>
    <mergeCell ref="C56:C60"/>
    <mergeCell ref="B62:B72"/>
    <mergeCell ref="B84:B94"/>
    <mergeCell ref="C84:C88"/>
    <mergeCell ref="C89:C93"/>
    <mergeCell ref="C62:C66"/>
    <mergeCell ref="C67:C71"/>
    <mergeCell ref="B73:B83"/>
    <mergeCell ref="C73:C77"/>
    <mergeCell ref="C78:C82"/>
    <mergeCell ref="A4:A47"/>
    <mergeCell ref="B4:B14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6961-1053-7C47-8CB0-F227FF8A1377}">
  <dimension ref="A1:AJ102"/>
  <sheetViews>
    <sheetView zoomScale="125" zoomScaleNormal="119" workbookViewId="0">
      <pane xSplit="3" ySplit="3" topLeftCell="D9" activePane="bottomRight" state="frozen"/>
      <selection pane="topRight" activeCell="D1" sqref="D1"/>
      <selection pane="bottomLeft" activeCell="A3" sqref="A3"/>
      <selection pane="bottomRight" activeCell="F76" sqref="F76"/>
    </sheetView>
  </sheetViews>
  <sheetFormatPr baseColWidth="10" defaultRowHeight="16"/>
  <cols>
    <col min="4" max="4" width="13.5" customWidth="1"/>
    <col min="5" max="7" width="11" customWidth="1"/>
    <col min="8" max="8" width="11.1640625" bestFit="1" customWidth="1"/>
    <col min="12" max="12" width="11.1640625" bestFit="1" customWidth="1"/>
    <col min="16" max="16" width="11.1640625" bestFit="1" customWidth="1"/>
    <col min="20" max="23" width="10.83203125" style="19"/>
    <col min="34" max="36" width="11.1640625" style="19" bestFit="1" customWidth="1"/>
  </cols>
  <sheetData>
    <row r="1" spans="1:36" s="44" customFormat="1" ht="23" customHeight="1">
      <c r="A1" s="98" t="s">
        <v>0</v>
      </c>
      <c r="B1" s="98"/>
      <c r="C1" s="98"/>
      <c r="D1" s="115" t="s">
        <v>36</v>
      </c>
      <c r="E1" s="115"/>
      <c r="F1" s="115"/>
      <c r="G1" s="115"/>
      <c r="H1" s="110" t="s">
        <v>37</v>
      </c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 t="s">
        <v>41</v>
      </c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H1" s="46"/>
      <c r="AI1" s="46"/>
      <c r="AJ1" s="46"/>
    </row>
    <row r="2" spans="1:36" ht="25" customHeight="1">
      <c r="A2" s="99"/>
      <c r="B2" s="99"/>
      <c r="C2" s="99"/>
      <c r="D2" s="116"/>
      <c r="E2" s="116"/>
      <c r="F2" s="116"/>
      <c r="G2" s="116"/>
      <c r="H2" s="112" t="s">
        <v>38</v>
      </c>
      <c r="I2" s="113"/>
      <c r="J2" s="113"/>
      <c r="K2" s="114"/>
      <c r="L2" s="112" t="s">
        <v>39</v>
      </c>
      <c r="M2" s="113"/>
      <c r="N2" s="113"/>
      <c r="O2" s="114"/>
      <c r="P2" s="112" t="s">
        <v>40</v>
      </c>
      <c r="Q2" s="113"/>
      <c r="R2" s="113"/>
      <c r="S2" s="114"/>
      <c r="T2" s="112" t="s">
        <v>38</v>
      </c>
      <c r="U2" s="113"/>
      <c r="V2" s="113"/>
      <c r="W2" s="114"/>
      <c r="X2" s="112" t="s">
        <v>39</v>
      </c>
      <c r="Y2" s="113"/>
      <c r="Z2" s="113"/>
      <c r="AA2" s="114"/>
      <c r="AB2" s="112" t="s">
        <v>40</v>
      </c>
      <c r="AC2" s="113"/>
      <c r="AD2" s="113"/>
      <c r="AE2" s="114"/>
    </row>
    <row r="3" spans="1:36" ht="22" customHeight="1">
      <c r="A3" s="6" t="s">
        <v>7</v>
      </c>
      <c r="B3" s="7" t="s">
        <v>1</v>
      </c>
      <c r="C3" s="40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6" t="s">
        <v>3</v>
      </c>
      <c r="I3" s="6" t="s">
        <v>4</v>
      </c>
      <c r="J3" s="6" t="s">
        <v>5</v>
      </c>
      <c r="K3" s="6" t="s">
        <v>6</v>
      </c>
      <c r="L3" s="6" t="s">
        <v>3</v>
      </c>
      <c r="M3" s="6" t="s">
        <v>4</v>
      </c>
      <c r="N3" s="6" t="s">
        <v>5</v>
      </c>
      <c r="O3" s="6" t="s">
        <v>6</v>
      </c>
      <c r="P3" s="6" t="s">
        <v>3</v>
      </c>
      <c r="Q3" s="6" t="s">
        <v>4</v>
      </c>
      <c r="R3" s="6" t="s">
        <v>5</v>
      </c>
      <c r="S3" s="6" t="s">
        <v>6</v>
      </c>
      <c r="T3" s="6" t="s">
        <v>3</v>
      </c>
      <c r="U3" s="6" t="s">
        <v>4</v>
      </c>
      <c r="V3" s="6" t="s">
        <v>5</v>
      </c>
      <c r="W3" s="6" t="s">
        <v>6</v>
      </c>
      <c r="X3" s="6" t="s">
        <v>3</v>
      </c>
      <c r="Y3" s="6" t="s">
        <v>4</v>
      </c>
      <c r="Z3" s="6" t="s">
        <v>5</v>
      </c>
      <c r="AA3" s="6" t="s">
        <v>6</v>
      </c>
      <c r="AB3" s="6" t="s">
        <v>3</v>
      </c>
      <c r="AC3" s="6" t="s">
        <v>4</v>
      </c>
      <c r="AD3" s="6" t="s">
        <v>5</v>
      </c>
      <c r="AE3" s="6" t="s">
        <v>6</v>
      </c>
    </row>
    <row r="4" spans="1:36">
      <c r="A4" s="108" t="s">
        <v>8</v>
      </c>
      <c r="B4" s="105">
        <v>5</v>
      </c>
      <c r="C4" s="104">
        <v>2</v>
      </c>
      <c r="D4" s="21">
        <v>14864.49</v>
      </c>
      <c r="E4" s="21">
        <v>14864.49</v>
      </c>
      <c r="F4" s="21">
        <v>0</v>
      </c>
      <c r="G4" s="21">
        <v>0.04</v>
      </c>
      <c r="H4" s="21">
        <v>14864.49</v>
      </c>
      <c r="I4" s="21">
        <v>14864.49</v>
      </c>
      <c r="J4" s="21">
        <v>0</v>
      </c>
      <c r="K4" s="21">
        <v>0.12</v>
      </c>
      <c r="L4" s="21">
        <v>14864.49</v>
      </c>
      <c r="M4" s="21">
        <v>14864.49</v>
      </c>
      <c r="N4" s="21">
        <v>0</v>
      </c>
      <c r="O4" s="21">
        <v>0.17</v>
      </c>
      <c r="P4" s="21">
        <v>14864.49</v>
      </c>
      <c r="Q4" s="21">
        <v>14864.49</v>
      </c>
      <c r="R4" s="21">
        <v>0</v>
      </c>
      <c r="S4" s="21">
        <v>0.17</v>
      </c>
      <c r="T4" s="3">
        <v>14864.49</v>
      </c>
      <c r="U4" s="3">
        <v>14864.49</v>
      </c>
      <c r="V4" s="3">
        <v>0</v>
      </c>
      <c r="W4" s="3">
        <v>0.05</v>
      </c>
      <c r="X4" s="3">
        <v>14864.49</v>
      </c>
      <c r="Y4" s="3">
        <v>14864.49</v>
      </c>
      <c r="Z4" s="3">
        <v>0</v>
      </c>
      <c r="AA4" s="3">
        <v>7.0000000000000007E-2</v>
      </c>
      <c r="AB4" s="3">
        <v>14864.49</v>
      </c>
      <c r="AC4" s="3">
        <v>14864.49</v>
      </c>
      <c r="AD4" s="3">
        <v>0</v>
      </c>
      <c r="AE4" s="3">
        <v>0.04</v>
      </c>
    </row>
    <row r="5" spans="1:36">
      <c r="A5" s="109"/>
      <c r="B5" s="100"/>
      <c r="C5" s="102"/>
      <c r="D5" s="21">
        <v>10514.44</v>
      </c>
      <c r="E5" s="21">
        <v>10514.44</v>
      </c>
      <c r="F5" s="21">
        <v>0</v>
      </c>
      <c r="G5" s="21">
        <v>0.04</v>
      </c>
      <c r="H5" s="21">
        <v>10514.44</v>
      </c>
      <c r="I5" s="21">
        <v>10514.44</v>
      </c>
      <c r="J5" s="21">
        <v>0</v>
      </c>
      <c r="K5" s="21">
        <v>0.08</v>
      </c>
      <c r="L5" s="21">
        <v>10514.44</v>
      </c>
      <c r="M5" s="21">
        <v>10514.44</v>
      </c>
      <c r="N5" s="21">
        <v>0</v>
      </c>
      <c r="O5" s="21">
        <v>0.08</v>
      </c>
      <c r="P5" s="21">
        <v>10514.44</v>
      </c>
      <c r="Q5" s="21">
        <v>10514.44</v>
      </c>
      <c r="R5" s="21">
        <v>0</v>
      </c>
      <c r="S5" s="21">
        <v>0.11</v>
      </c>
      <c r="T5" s="3">
        <v>10514.44</v>
      </c>
      <c r="U5" s="3">
        <v>10514.44</v>
      </c>
      <c r="V5" s="3">
        <v>0</v>
      </c>
      <c r="W5" s="3">
        <v>0.01</v>
      </c>
      <c r="X5" s="3">
        <v>10514.44</v>
      </c>
      <c r="Y5" s="3">
        <v>10514.44</v>
      </c>
      <c r="Z5" s="3">
        <v>0</v>
      </c>
      <c r="AA5" s="3">
        <v>0.05</v>
      </c>
      <c r="AB5" s="3">
        <v>10514.44</v>
      </c>
      <c r="AC5" s="3">
        <v>10514.44</v>
      </c>
      <c r="AD5" s="3">
        <v>0</v>
      </c>
      <c r="AE5" s="3">
        <v>0.04</v>
      </c>
    </row>
    <row r="6" spans="1:36">
      <c r="A6" s="109"/>
      <c r="B6" s="100"/>
      <c r="C6" s="102"/>
      <c r="D6" s="21">
        <v>8002.47</v>
      </c>
      <c r="E6" s="21">
        <v>8002.47</v>
      </c>
      <c r="F6" s="21">
        <v>0</v>
      </c>
      <c r="G6" s="21">
        <v>0.04</v>
      </c>
      <c r="H6" s="21">
        <v>8002.47</v>
      </c>
      <c r="I6" s="21">
        <v>8002.47</v>
      </c>
      <c r="J6" s="21">
        <v>0</v>
      </c>
      <c r="K6" s="21">
        <v>0.15</v>
      </c>
      <c r="L6" s="21">
        <v>8002.47</v>
      </c>
      <c r="M6" s="21">
        <v>8002.47</v>
      </c>
      <c r="N6" s="21">
        <v>0</v>
      </c>
      <c r="O6" s="21">
        <v>0.1</v>
      </c>
      <c r="P6" s="21">
        <v>8002.47</v>
      </c>
      <c r="Q6" s="21">
        <v>8002.47</v>
      </c>
      <c r="R6" s="21">
        <v>0</v>
      </c>
      <c r="S6" s="21">
        <v>0.11</v>
      </c>
      <c r="T6" s="3">
        <v>8002.47</v>
      </c>
      <c r="U6" s="3">
        <v>8002.47</v>
      </c>
      <c r="V6" s="3">
        <v>0</v>
      </c>
      <c r="W6" s="10">
        <v>0.01</v>
      </c>
      <c r="X6" s="3">
        <v>8002.47</v>
      </c>
      <c r="Y6" s="3">
        <v>8002.47</v>
      </c>
      <c r="Z6" s="3">
        <v>0</v>
      </c>
      <c r="AA6" s="10">
        <v>0.03</v>
      </c>
      <c r="AB6" s="3">
        <v>8002.47</v>
      </c>
      <c r="AC6" s="3">
        <v>8002.47</v>
      </c>
      <c r="AD6" s="3">
        <v>0</v>
      </c>
      <c r="AE6" s="10">
        <v>0.02</v>
      </c>
    </row>
    <row r="7" spans="1:36">
      <c r="A7" s="109"/>
      <c r="B7" s="100"/>
      <c r="C7" s="102"/>
      <c r="D7" s="21">
        <v>7905.39</v>
      </c>
      <c r="E7" s="21">
        <v>7905.39</v>
      </c>
      <c r="F7" s="21">
        <v>0</v>
      </c>
      <c r="G7" s="21">
        <v>0.04</v>
      </c>
      <c r="H7" s="21">
        <v>7905.39</v>
      </c>
      <c r="I7" s="21">
        <v>7905.39</v>
      </c>
      <c r="J7" s="21">
        <v>0</v>
      </c>
      <c r="K7" s="21">
        <v>0.09</v>
      </c>
      <c r="L7" s="21">
        <v>7905.39</v>
      </c>
      <c r="M7" s="21">
        <v>7905.39</v>
      </c>
      <c r="N7" s="21">
        <v>0</v>
      </c>
      <c r="O7" s="21">
        <v>7.0000000000000007E-2</v>
      </c>
      <c r="P7" s="21">
        <v>7905.39</v>
      </c>
      <c r="Q7" s="21">
        <v>7905.39</v>
      </c>
      <c r="R7" s="21">
        <v>0</v>
      </c>
      <c r="S7" s="21">
        <v>0.09</v>
      </c>
      <c r="T7" s="3">
        <v>7905.39</v>
      </c>
      <c r="U7" s="3">
        <v>7905.39</v>
      </c>
      <c r="V7" s="3">
        <v>0</v>
      </c>
      <c r="W7" s="3">
        <v>0.05</v>
      </c>
      <c r="X7" s="3">
        <v>7905.39</v>
      </c>
      <c r="Y7" s="3">
        <v>7905.39</v>
      </c>
      <c r="Z7" s="3">
        <v>0</v>
      </c>
      <c r="AA7" s="3">
        <v>0.05</v>
      </c>
      <c r="AB7" s="3">
        <v>7905.39</v>
      </c>
      <c r="AC7" s="3">
        <v>7905.39</v>
      </c>
      <c r="AD7" s="3">
        <v>0</v>
      </c>
      <c r="AE7" s="3">
        <v>0.02</v>
      </c>
    </row>
    <row r="8" spans="1:36">
      <c r="A8" s="109"/>
      <c r="B8" s="100"/>
      <c r="C8" s="103"/>
      <c r="D8" s="21">
        <v>8254.69</v>
      </c>
      <c r="E8" s="21">
        <v>8254.69</v>
      </c>
      <c r="F8" s="21">
        <v>0</v>
      </c>
      <c r="G8" s="21">
        <v>0.04</v>
      </c>
      <c r="H8" s="21">
        <v>8254.69</v>
      </c>
      <c r="I8" s="21">
        <v>8254.69</v>
      </c>
      <c r="J8" s="21">
        <v>0</v>
      </c>
      <c r="K8" s="21">
        <v>0.05</v>
      </c>
      <c r="L8" s="21">
        <v>8254.69</v>
      </c>
      <c r="M8" s="21">
        <v>8254.69</v>
      </c>
      <c r="N8" s="21">
        <v>0</v>
      </c>
      <c r="O8" s="21">
        <v>0.06</v>
      </c>
      <c r="P8" s="21">
        <v>8254.69</v>
      </c>
      <c r="Q8" s="21">
        <v>8254.69</v>
      </c>
      <c r="R8" s="21">
        <v>0</v>
      </c>
      <c r="S8" s="21">
        <v>0.08</v>
      </c>
      <c r="T8" s="3">
        <v>8254.69</v>
      </c>
      <c r="U8" s="3">
        <v>8254.69</v>
      </c>
      <c r="V8" s="3">
        <v>0</v>
      </c>
      <c r="W8" s="3">
        <v>0.02</v>
      </c>
      <c r="X8" s="3">
        <v>8254.69</v>
      </c>
      <c r="Y8" s="3">
        <v>8254.69</v>
      </c>
      <c r="Z8" s="3">
        <v>0</v>
      </c>
      <c r="AA8" s="3">
        <v>0.04</v>
      </c>
      <c r="AB8" s="3">
        <v>8254.69</v>
      </c>
      <c r="AC8" s="3">
        <v>8254.69</v>
      </c>
      <c r="AD8" s="3">
        <v>0</v>
      </c>
      <c r="AE8" s="3">
        <v>0.05</v>
      </c>
    </row>
    <row r="9" spans="1:36">
      <c r="A9" s="109"/>
      <c r="B9" s="100"/>
      <c r="C9" s="41"/>
      <c r="D9" s="33">
        <f>AVERAGE(D4:D8)</f>
        <v>9908.2960000000003</v>
      </c>
      <c r="E9" s="33">
        <f>AVERAGE(E4:E8)</f>
        <v>9908.2960000000003</v>
      </c>
      <c r="F9" s="33">
        <f>AVERAGE(F4:F8)</f>
        <v>0</v>
      </c>
      <c r="G9" s="33">
        <f>AVERAGE(G4:G8)</f>
        <v>0.04</v>
      </c>
      <c r="H9" s="33">
        <f t="shared" ref="H9:K9" si="0">AVERAGE(H4:H8)</f>
        <v>9908.2960000000003</v>
      </c>
      <c r="I9" s="33">
        <f t="shared" si="0"/>
        <v>9908.2960000000003</v>
      </c>
      <c r="J9" s="33">
        <f t="shared" si="0"/>
        <v>0</v>
      </c>
      <c r="K9" s="33">
        <f t="shared" si="0"/>
        <v>9.799999999999999E-2</v>
      </c>
      <c r="L9" s="33">
        <f t="shared" ref="L9:S9" si="1">AVERAGE(L4:L8)</f>
        <v>9908.2960000000003</v>
      </c>
      <c r="M9" s="33">
        <f t="shared" si="1"/>
        <v>9908.2960000000003</v>
      </c>
      <c r="N9" s="33">
        <f t="shared" si="1"/>
        <v>0</v>
      </c>
      <c r="O9" s="33">
        <f t="shared" si="1"/>
        <v>9.6000000000000002E-2</v>
      </c>
      <c r="P9" s="33">
        <f t="shared" si="1"/>
        <v>9908.2960000000003</v>
      </c>
      <c r="Q9" s="33">
        <f t="shared" si="1"/>
        <v>9908.2960000000003</v>
      </c>
      <c r="R9" s="33">
        <f t="shared" si="1"/>
        <v>0</v>
      </c>
      <c r="S9" s="33">
        <f t="shared" si="1"/>
        <v>0.11199999999999999</v>
      </c>
      <c r="T9" s="8">
        <f t="shared" ref="T9:V9" si="2">AVERAGE(T4:T8)</f>
        <v>9908.2960000000003</v>
      </c>
      <c r="U9" s="8">
        <f t="shared" si="2"/>
        <v>9908.2960000000003</v>
      </c>
      <c r="V9" s="8">
        <f t="shared" si="2"/>
        <v>0</v>
      </c>
      <c r="W9" s="8">
        <f t="shared" ref="W9:AE9" si="3">AVERAGE(W4:W8)</f>
        <v>2.8000000000000004E-2</v>
      </c>
      <c r="X9" s="8">
        <f t="shared" si="3"/>
        <v>9908.2960000000003</v>
      </c>
      <c r="Y9" s="8">
        <f t="shared" si="3"/>
        <v>9908.2960000000003</v>
      </c>
      <c r="Z9" s="8">
        <f t="shared" si="3"/>
        <v>0</v>
      </c>
      <c r="AA9" s="8">
        <f t="shared" si="3"/>
        <v>4.8000000000000001E-2</v>
      </c>
      <c r="AB9" s="8">
        <f t="shared" si="3"/>
        <v>9908.2960000000003</v>
      </c>
      <c r="AC9" s="8">
        <f t="shared" si="3"/>
        <v>9908.2960000000003</v>
      </c>
      <c r="AD9" s="8">
        <f t="shared" si="3"/>
        <v>0</v>
      </c>
      <c r="AE9" s="8">
        <f t="shared" si="3"/>
        <v>3.4000000000000002E-2</v>
      </c>
    </row>
    <row r="10" spans="1:36">
      <c r="A10" s="109"/>
      <c r="B10" s="100"/>
      <c r="C10" s="104">
        <v>3</v>
      </c>
      <c r="D10" s="32">
        <v>3519.7</v>
      </c>
      <c r="E10" s="32">
        <v>3519.7</v>
      </c>
      <c r="F10" s="32">
        <v>0</v>
      </c>
      <c r="G10" s="32">
        <v>0.04</v>
      </c>
      <c r="H10" s="32">
        <v>3519.7</v>
      </c>
      <c r="I10" s="32">
        <v>3519.7</v>
      </c>
      <c r="J10" s="32">
        <v>0</v>
      </c>
      <c r="K10" s="32">
        <v>0.16</v>
      </c>
      <c r="L10" s="32">
        <v>3519.7</v>
      </c>
      <c r="M10" s="32">
        <v>3519.7</v>
      </c>
      <c r="N10" s="32">
        <v>0</v>
      </c>
      <c r="O10" s="32">
        <v>0.2</v>
      </c>
      <c r="P10" s="32">
        <v>3519.7</v>
      </c>
      <c r="Q10" s="32">
        <v>3519.7</v>
      </c>
      <c r="R10" s="32">
        <v>0</v>
      </c>
      <c r="S10" s="32">
        <v>0.2</v>
      </c>
      <c r="T10" s="5">
        <v>3519.7</v>
      </c>
      <c r="U10" s="5">
        <v>3519.7</v>
      </c>
      <c r="V10" s="5">
        <v>0</v>
      </c>
      <c r="W10" s="5">
        <v>0.04</v>
      </c>
      <c r="X10" s="5">
        <v>3519.7</v>
      </c>
      <c r="Y10" s="5">
        <v>3519.7</v>
      </c>
      <c r="Z10" s="5">
        <v>0</v>
      </c>
      <c r="AA10" s="5">
        <v>0.05</v>
      </c>
      <c r="AB10" s="5">
        <v>3519.7</v>
      </c>
      <c r="AC10" s="5">
        <v>3519.7</v>
      </c>
      <c r="AD10" s="5">
        <v>0</v>
      </c>
      <c r="AE10" s="5">
        <v>7.0000000000000007E-2</v>
      </c>
    </row>
    <row r="11" spans="1:36">
      <c r="A11" s="109"/>
      <c r="B11" s="100"/>
      <c r="C11" s="102"/>
      <c r="D11" s="32">
        <v>4639.67</v>
      </c>
      <c r="E11" s="32">
        <v>4639.67</v>
      </c>
      <c r="F11" s="32">
        <v>0</v>
      </c>
      <c r="G11" s="32">
        <v>0.03</v>
      </c>
      <c r="H11" s="32">
        <v>4639.67</v>
      </c>
      <c r="I11" s="32">
        <v>4639.67</v>
      </c>
      <c r="J11" s="32">
        <v>0</v>
      </c>
      <c r="K11" s="32">
        <v>0.12</v>
      </c>
      <c r="L11" s="32">
        <v>4639.67</v>
      </c>
      <c r="M11" s="32">
        <v>4639.67</v>
      </c>
      <c r="N11" s="32">
        <v>0</v>
      </c>
      <c r="O11" s="32">
        <v>0.15</v>
      </c>
      <c r="P11" s="32">
        <v>4639.67</v>
      </c>
      <c r="Q11" s="32">
        <v>4639.67</v>
      </c>
      <c r="R11" s="32">
        <v>0</v>
      </c>
      <c r="S11" s="32">
        <v>0.14000000000000001</v>
      </c>
      <c r="T11" s="5">
        <v>4639.67</v>
      </c>
      <c r="U11" s="5">
        <v>4639.67</v>
      </c>
      <c r="V11" s="5">
        <v>0</v>
      </c>
      <c r="W11" s="5">
        <v>0.05</v>
      </c>
      <c r="X11" s="5">
        <v>4639.67</v>
      </c>
      <c r="Y11" s="5">
        <v>4639.67</v>
      </c>
      <c r="Z11" s="5">
        <v>0</v>
      </c>
      <c r="AA11" s="5">
        <v>0.02</v>
      </c>
      <c r="AB11" s="5">
        <v>4639.67</v>
      </c>
      <c r="AC11" s="5">
        <v>4639.67</v>
      </c>
      <c r="AD11" s="5">
        <v>0</v>
      </c>
      <c r="AE11" s="5">
        <v>0.02</v>
      </c>
    </row>
    <row r="12" spans="1:36">
      <c r="A12" s="109"/>
      <c r="B12" s="100"/>
      <c r="C12" s="102"/>
      <c r="D12" s="32">
        <v>4952.83</v>
      </c>
      <c r="E12" s="32">
        <v>4952.83</v>
      </c>
      <c r="F12" s="32">
        <v>0</v>
      </c>
      <c r="G12" s="32">
        <v>0.02</v>
      </c>
      <c r="H12" s="32">
        <v>4952.83</v>
      </c>
      <c r="I12" s="32">
        <v>4952.83</v>
      </c>
      <c r="J12" s="32">
        <v>0</v>
      </c>
      <c r="K12" s="32">
        <v>0.14000000000000001</v>
      </c>
      <c r="L12" s="32">
        <v>4952.83</v>
      </c>
      <c r="M12" s="32">
        <v>4952.83</v>
      </c>
      <c r="N12" s="32">
        <v>0</v>
      </c>
      <c r="O12" s="32">
        <v>0.13</v>
      </c>
      <c r="P12" s="32">
        <v>4952.83</v>
      </c>
      <c r="Q12" s="32">
        <v>4952.83</v>
      </c>
      <c r="R12" s="32">
        <v>0</v>
      </c>
      <c r="S12" s="32">
        <v>0.16</v>
      </c>
      <c r="T12" s="5">
        <v>4952.83</v>
      </c>
      <c r="U12" s="5">
        <v>4952.83</v>
      </c>
      <c r="V12" s="5">
        <v>0</v>
      </c>
      <c r="W12" s="5">
        <v>0.01</v>
      </c>
      <c r="X12" s="5">
        <v>4952.83</v>
      </c>
      <c r="Y12" s="5">
        <v>4952.83</v>
      </c>
      <c r="Z12" s="5">
        <v>0</v>
      </c>
      <c r="AA12" s="5">
        <v>0.05</v>
      </c>
      <c r="AB12" s="5">
        <v>4952.83</v>
      </c>
      <c r="AC12" s="5">
        <v>4952.83</v>
      </c>
      <c r="AD12" s="5">
        <v>0</v>
      </c>
      <c r="AE12" s="5">
        <v>0.03</v>
      </c>
    </row>
    <row r="13" spans="1:36">
      <c r="A13" s="109"/>
      <c r="B13" s="100"/>
      <c r="C13" s="102"/>
      <c r="D13" s="32">
        <v>11218.49</v>
      </c>
      <c r="E13" s="32">
        <v>11218.49</v>
      </c>
      <c r="F13" s="32">
        <v>0</v>
      </c>
      <c r="G13" s="32">
        <v>0.03</v>
      </c>
      <c r="H13" s="32">
        <v>11218.49</v>
      </c>
      <c r="I13" s="32">
        <v>11218.49</v>
      </c>
      <c r="J13" s="32">
        <v>0</v>
      </c>
      <c r="K13" s="32">
        <v>0.13</v>
      </c>
      <c r="L13" s="32">
        <v>11218.49</v>
      </c>
      <c r="M13" s="32">
        <v>11218.49</v>
      </c>
      <c r="N13" s="32">
        <v>0</v>
      </c>
      <c r="O13" s="32">
        <v>0.11</v>
      </c>
      <c r="P13" s="32">
        <v>11218.49</v>
      </c>
      <c r="Q13" s="32">
        <v>11218.49</v>
      </c>
      <c r="R13" s="32">
        <v>0</v>
      </c>
      <c r="S13" s="32">
        <v>0.2</v>
      </c>
      <c r="T13" s="5">
        <v>11218.49</v>
      </c>
      <c r="U13" s="5">
        <v>11218.49</v>
      </c>
      <c r="V13" s="5">
        <v>0</v>
      </c>
      <c r="W13" s="5">
        <v>0.01</v>
      </c>
      <c r="X13" s="5">
        <v>11218.49</v>
      </c>
      <c r="Y13" s="5">
        <v>11218.49</v>
      </c>
      <c r="Z13" s="5">
        <v>0</v>
      </c>
      <c r="AA13" s="5">
        <v>0.01</v>
      </c>
      <c r="AB13" s="5">
        <v>11218.49</v>
      </c>
      <c r="AC13" s="5">
        <v>11218.49</v>
      </c>
      <c r="AD13" s="5">
        <v>0</v>
      </c>
      <c r="AE13" s="5">
        <v>0.01</v>
      </c>
    </row>
    <row r="14" spans="1:36">
      <c r="A14" s="109"/>
      <c r="B14" s="100"/>
      <c r="C14" s="103"/>
      <c r="D14" s="32">
        <v>7320</v>
      </c>
      <c r="E14" s="32">
        <v>7320</v>
      </c>
      <c r="F14" s="32">
        <v>0</v>
      </c>
      <c r="G14" s="32">
        <v>0.03</v>
      </c>
      <c r="H14" s="32">
        <v>7320</v>
      </c>
      <c r="I14" s="32">
        <v>7320</v>
      </c>
      <c r="J14" s="32">
        <v>0</v>
      </c>
      <c r="K14" s="32">
        <v>0.2</v>
      </c>
      <c r="L14" s="32">
        <v>7320</v>
      </c>
      <c r="M14" s="32">
        <v>7320</v>
      </c>
      <c r="N14" s="32">
        <v>0</v>
      </c>
      <c r="O14" s="32">
        <v>0.2</v>
      </c>
      <c r="P14" s="32">
        <v>7320</v>
      </c>
      <c r="Q14" s="32">
        <v>7320</v>
      </c>
      <c r="R14" s="32">
        <v>0</v>
      </c>
      <c r="S14" s="32">
        <v>0.33</v>
      </c>
      <c r="T14" s="5">
        <v>7320</v>
      </c>
      <c r="U14" s="5">
        <v>7320</v>
      </c>
      <c r="V14" s="5">
        <v>0</v>
      </c>
      <c r="W14" s="5">
        <v>0.02</v>
      </c>
      <c r="X14" s="5">
        <v>7320</v>
      </c>
      <c r="Y14" s="5">
        <v>7320</v>
      </c>
      <c r="Z14" s="5">
        <v>0</v>
      </c>
      <c r="AA14" s="5">
        <v>0.02</v>
      </c>
      <c r="AB14" s="5">
        <v>7320</v>
      </c>
      <c r="AC14" s="5">
        <v>7320</v>
      </c>
      <c r="AD14" s="5">
        <v>0</v>
      </c>
      <c r="AE14" s="5">
        <v>0.02</v>
      </c>
    </row>
    <row r="15" spans="1:36">
      <c r="A15" s="109"/>
      <c r="B15" s="101"/>
      <c r="C15" s="41"/>
      <c r="D15" s="33">
        <f>AVERAGE(D10:D14)</f>
        <v>6330.1380000000008</v>
      </c>
      <c r="E15" s="33">
        <f>AVERAGE(E10:E14)</f>
        <v>6330.1380000000008</v>
      </c>
      <c r="F15" s="33">
        <f>AVERAGE(F10:F14)</f>
        <v>0</v>
      </c>
      <c r="G15" s="33">
        <f>AVERAGE(G10:G14)</f>
        <v>3.0000000000000006E-2</v>
      </c>
      <c r="H15" s="33">
        <f t="shared" ref="H15:K15" si="4">AVERAGE(H10:H14)</f>
        <v>6330.1380000000008</v>
      </c>
      <c r="I15" s="33">
        <f t="shared" si="4"/>
        <v>6330.1380000000008</v>
      </c>
      <c r="J15" s="33">
        <f t="shared" si="4"/>
        <v>0</v>
      </c>
      <c r="K15" s="33">
        <f t="shared" si="4"/>
        <v>0.15</v>
      </c>
      <c r="L15" s="33">
        <f t="shared" ref="L15:S15" si="5">AVERAGE(L10:L14)</f>
        <v>6330.1380000000008</v>
      </c>
      <c r="M15" s="33">
        <f t="shared" si="5"/>
        <v>6330.1380000000008</v>
      </c>
      <c r="N15" s="33">
        <f t="shared" si="5"/>
        <v>0</v>
      </c>
      <c r="O15" s="33">
        <f t="shared" si="5"/>
        <v>0.158</v>
      </c>
      <c r="P15" s="33">
        <f t="shared" si="5"/>
        <v>6330.1380000000008</v>
      </c>
      <c r="Q15" s="33">
        <f t="shared" si="5"/>
        <v>6330.1380000000008</v>
      </c>
      <c r="R15" s="33">
        <f t="shared" si="5"/>
        <v>0</v>
      </c>
      <c r="S15" s="33">
        <f t="shared" si="5"/>
        <v>0.20600000000000002</v>
      </c>
      <c r="T15" s="8">
        <f t="shared" ref="T15:W15" si="6">AVERAGE(T10:T14)</f>
        <v>6330.1380000000008</v>
      </c>
      <c r="U15" s="8">
        <f t="shared" si="6"/>
        <v>6330.1380000000008</v>
      </c>
      <c r="V15" s="8">
        <f t="shared" si="6"/>
        <v>0</v>
      </c>
      <c r="W15" s="8">
        <f t="shared" si="6"/>
        <v>2.5999999999999995E-2</v>
      </c>
      <c r="X15" s="8">
        <f t="shared" ref="X15:AE15" si="7">AVERAGE(X10:X14)</f>
        <v>6330.1380000000008</v>
      </c>
      <c r="Y15" s="8">
        <f t="shared" si="7"/>
        <v>6330.1380000000008</v>
      </c>
      <c r="Z15" s="8">
        <f t="shared" si="7"/>
        <v>0</v>
      </c>
      <c r="AA15" s="8">
        <f t="shared" si="7"/>
        <v>0.03</v>
      </c>
      <c r="AB15" s="8">
        <f t="shared" si="7"/>
        <v>6330.1380000000008</v>
      </c>
      <c r="AC15" s="8">
        <f t="shared" si="7"/>
        <v>6330.1380000000008</v>
      </c>
      <c r="AD15" s="8">
        <f t="shared" si="7"/>
        <v>0</v>
      </c>
      <c r="AE15" s="8">
        <f t="shared" si="7"/>
        <v>0.03</v>
      </c>
    </row>
    <row r="16" spans="1:36">
      <c r="A16" s="109"/>
      <c r="B16" s="105">
        <v>10</v>
      </c>
      <c r="C16" s="104">
        <v>3</v>
      </c>
      <c r="D16" s="21">
        <v>29400.55</v>
      </c>
      <c r="E16" s="21">
        <v>29400.55</v>
      </c>
      <c r="F16" s="21">
        <v>0</v>
      </c>
      <c r="G16" s="21">
        <v>22.87</v>
      </c>
      <c r="H16" s="3">
        <v>29400.55</v>
      </c>
      <c r="I16" s="3">
        <v>29400.55</v>
      </c>
      <c r="J16" s="3">
        <v>0</v>
      </c>
      <c r="K16" s="21">
        <v>14.66</v>
      </c>
      <c r="L16" s="3">
        <v>29400.55</v>
      </c>
      <c r="M16" s="3">
        <v>29400.55</v>
      </c>
      <c r="N16" s="3">
        <v>0</v>
      </c>
      <c r="O16" s="21">
        <v>15.42</v>
      </c>
      <c r="P16" s="3">
        <v>29400.55</v>
      </c>
      <c r="Q16" s="3">
        <v>29400.55</v>
      </c>
      <c r="R16" s="3">
        <v>0</v>
      </c>
      <c r="S16" s="21">
        <v>11.82</v>
      </c>
      <c r="T16" s="3">
        <v>29400.55</v>
      </c>
      <c r="U16" s="3">
        <v>29400.55</v>
      </c>
      <c r="V16" s="3">
        <v>0</v>
      </c>
      <c r="W16" s="3">
        <v>0.27</v>
      </c>
      <c r="X16" s="3">
        <v>29400.55</v>
      </c>
      <c r="Y16" s="3">
        <v>29400.55</v>
      </c>
      <c r="Z16" s="3">
        <v>0</v>
      </c>
      <c r="AA16" s="3">
        <v>0.31</v>
      </c>
      <c r="AB16" s="3">
        <v>29400.55</v>
      </c>
      <c r="AC16" s="3">
        <v>29400.55</v>
      </c>
      <c r="AD16" s="3">
        <v>0</v>
      </c>
      <c r="AE16" s="3">
        <v>0.41</v>
      </c>
    </row>
    <row r="17" spans="1:31">
      <c r="A17" s="109"/>
      <c r="B17" s="100"/>
      <c r="C17" s="102"/>
      <c r="D17" s="21">
        <v>26849.56</v>
      </c>
      <c r="E17" s="21">
        <v>26849.56</v>
      </c>
      <c r="F17" s="21">
        <v>0</v>
      </c>
      <c r="G17" s="21">
        <v>10.3</v>
      </c>
      <c r="H17" s="3">
        <v>26849.56</v>
      </c>
      <c r="I17" s="3">
        <v>26849.56</v>
      </c>
      <c r="J17" s="3">
        <v>0</v>
      </c>
      <c r="K17" s="21">
        <v>13.62</v>
      </c>
      <c r="L17" s="3">
        <v>26849.56</v>
      </c>
      <c r="M17" s="3">
        <v>26849.56</v>
      </c>
      <c r="N17" s="3">
        <v>0</v>
      </c>
      <c r="O17" s="21">
        <v>10.19</v>
      </c>
      <c r="P17" s="3">
        <v>26849.56</v>
      </c>
      <c r="Q17" s="3">
        <v>26849.56</v>
      </c>
      <c r="R17" s="3">
        <v>0</v>
      </c>
      <c r="S17" s="21">
        <v>14.37</v>
      </c>
      <c r="T17" s="3">
        <v>26849.56</v>
      </c>
      <c r="U17" s="3">
        <v>26849.56</v>
      </c>
      <c r="V17" s="3">
        <v>0</v>
      </c>
      <c r="W17" s="3">
        <v>0.21</v>
      </c>
      <c r="X17" s="3">
        <v>26849.56</v>
      </c>
      <c r="Y17" s="3">
        <v>26849.56</v>
      </c>
      <c r="Z17" s="3">
        <v>0</v>
      </c>
      <c r="AA17" s="3">
        <v>0.23</v>
      </c>
      <c r="AB17" s="3">
        <v>26849.56</v>
      </c>
      <c r="AC17" s="3">
        <v>26849.56</v>
      </c>
      <c r="AD17" s="3">
        <v>0</v>
      </c>
      <c r="AE17" s="3">
        <v>0.27</v>
      </c>
    </row>
    <row r="18" spans="1:31">
      <c r="A18" s="109"/>
      <c r="B18" s="100"/>
      <c r="C18" s="102"/>
      <c r="D18" s="21">
        <v>35931.17</v>
      </c>
      <c r="E18" s="21">
        <v>35931.17</v>
      </c>
      <c r="F18" s="21">
        <v>0</v>
      </c>
      <c r="G18" s="21">
        <v>13.22</v>
      </c>
      <c r="H18" s="3">
        <v>35931.17</v>
      </c>
      <c r="I18" s="3">
        <v>35931.160000000003</v>
      </c>
      <c r="J18" s="3">
        <v>0</v>
      </c>
      <c r="K18" s="21">
        <v>15.6</v>
      </c>
      <c r="L18" s="3">
        <v>35931.17</v>
      </c>
      <c r="M18" s="3">
        <v>35931.160000000003</v>
      </c>
      <c r="N18" s="3">
        <v>0</v>
      </c>
      <c r="O18" s="21">
        <v>16.760000000000002</v>
      </c>
      <c r="P18" s="3">
        <v>35931.17</v>
      </c>
      <c r="Q18" s="3">
        <v>35931.160000000003</v>
      </c>
      <c r="R18" s="3">
        <v>0</v>
      </c>
      <c r="S18" s="21">
        <v>18.55</v>
      </c>
      <c r="T18" s="3">
        <v>35931.17</v>
      </c>
      <c r="U18" s="3">
        <v>35931.17</v>
      </c>
      <c r="V18" s="3">
        <v>0</v>
      </c>
      <c r="W18" s="3">
        <v>0.23</v>
      </c>
      <c r="X18" s="3">
        <v>35931.17</v>
      </c>
      <c r="Y18" s="3">
        <v>35931.17</v>
      </c>
      <c r="Z18" s="3">
        <v>0</v>
      </c>
      <c r="AA18" s="3">
        <v>0.2</v>
      </c>
      <c r="AB18" s="3">
        <v>35931.17</v>
      </c>
      <c r="AC18" s="3">
        <v>35931.17</v>
      </c>
      <c r="AD18" s="3">
        <v>0</v>
      </c>
      <c r="AE18" s="3">
        <v>0.26</v>
      </c>
    </row>
    <row r="19" spans="1:31">
      <c r="A19" s="109"/>
      <c r="B19" s="100"/>
      <c r="C19" s="102"/>
      <c r="D19" s="21">
        <v>45890.71</v>
      </c>
      <c r="E19" s="21">
        <v>45890.71</v>
      </c>
      <c r="F19" s="21">
        <v>0</v>
      </c>
      <c r="G19" s="21">
        <v>28.33</v>
      </c>
      <c r="H19" s="3">
        <v>45890.71</v>
      </c>
      <c r="I19" s="3">
        <v>45890.71</v>
      </c>
      <c r="J19" s="3">
        <v>0</v>
      </c>
      <c r="K19" s="21">
        <v>21.01</v>
      </c>
      <c r="L19" s="3">
        <v>45890.71</v>
      </c>
      <c r="M19" s="3">
        <v>45890.71</v>
      </c>
      <c r="N19" s="3">
        <v>0</v>
      </c>
      <c r="O19" s="21">
        <v>15.64</v>
      </c>
      <c r="P19" s="3">
        <v>45890.71</v>
      </c>
      <c r="Q19" s="3">
        <v>45890.71</v>
      </c>
      <c r="R19" s="3">
        <v>0</v>
      </c>
      <c r="S19" s="21">
        <v>22.71</v>
      </c>
      <c r="T19" s="3">
        <v>45890.71</v>
      </c>
      <c r="U19" s="3">
        <v>45890.71</v>
      </c>
      <c r="V19" s="3">
        <v>0</v>
      </c>
      <c r="W19" s="3">
        <v>0.19</v>
      </c>
      <c r="X19" s="3">
        <v>45890.71</v>
      </c>
      <c r="Y19" s="3">
        <v>45890.71</v>
      </c>
      <c r="Z19" s="3">
        <v>0</v>
      </c>
      <c r="AA19" s="3">
        <v>0.23</v>
      </c>
      <c r="AB19" s="3">
        <v>45890.71</v>
      </c>
      <c r="AC19" s="3">
        <v>45890.71</v>
      </c>
      <c r="AD19" s="3">
        <v>0</v>
      </c>
      <c r="AE19" s="3">
        <v>0.24</v>
      </c>
    </row>
    <row r="20" spans="1:31">
      <c r="A20" s="109"/>
      <c r="B20" s="100"/>
      <c r="C20" s="103"/>
      <c r="D20" s="21">
        <v>24457.73</v>
      </c>
      <c r="E20" s="21">
        <v>24457.73</v>
      </c>
      <c r="F20" s="21">
        <v>0</v>
      </c>
      <c r="G20" s="21">
        <v>7.16</v>
      </c>
      <c r="H20" s="3">
        <v>24457.73</v>
      </c>
      <c r="I20" s="3">
        <v>24457.73</v>
      </c>
      <c r="J20" s="3">
        <v>0</v>
      </c>
      <c r="K20" s="21">
        <v>13.43</v>
      </c>
      <c r="L20" s="3">
        <v>24457.73</v>
      </c>
      <c r="M20" s="3">
        <v>24457.73</v>
      </c>
      <c r="N20" s="3">
        <v>0</v>
      </c>
      <c r="O20" s="21">
        <v>16.239999999999998</v>
      </c>
      <c r="P20" s="3">
        <v>24457.73</v>
      </c>
      <c r="Q20" s="3">
        <v>24457.73</v>
      </c>
      <c r="R20" s="3">
        <v>0</v>
      </c>
      <c r="S20" s="21">
        <v>10.78</v>
      </c>
      <c r="T20" s="3">
        <v>24457.73</v>
      </c>
      <c r="U20" s="3">
        <v>24457.73</v>
      </c>
      <c r="V20" s="3">
        <v>0</v>
      </c>
      <c r="W20" s="3">
        <v>0.17</v>
      </c>
      <c r="X20" s="3">
        <v>24457.73</v>
      </c>
      <c r="Y20" s="3">
        <v>24457.73</v>
      </c>
      <c r="Z20" s="3">
        <v>0</v>
      </c>
      <c r="AA20" s="3">
        <v>0.17</v>
      </c>
      <c r="AB20" s="3">
        <v>24457.73</v>
      </c>
      <c r="AC20" s="3">
        <v>24457.73</v>
      </c>
      <c r="AD20" s="3">
        <v>0</v>
      </c>
      <c r="AE20" s="3">
        <v>0.25</v>
      </c>
    </row>
    <row r="21" spans="1:31">
      <c r="A21" s="109"/>
      <c r="B21" s="100"/>
      <c r="C21" s="41"/>
      <c r="D21" s="33">
        <f>AVERAGE(D16:D20)</f>
        <v>32505.944</v>
      </c>
      <c r="E21" s="33">
        <f>AVERAGE(E16:E20)</f>
        <v>32505.944</v>
      </c>
      <c r="F21" s="33">
        <f>AVERAGE(F16:F20)</f>
        <v>0</v>
      </c>
      <c r="G21" s="33">
        <f>AVERAGE(G16:G20)</f>
        <v>16.375999999999998</v>
      </c>
      <c r="H21" s="33">
        <f t="shared" ref="H21:K21" si="8">AVERAGE(H16:H20)</f>
        <v>32505.944</v>
      </c>
      <c r="I21" s="33">
        <f t="shared" si="8"/>
        <v>32505.942000000003</v>
      </c>
      <c r="J21" s="33">
        <f t="shared" si="8"/>
        <v>0</v>
      </c>
      <c r="K21" s="33">
        <f t="shared" si="8"/>
        <v>15.663999999999998</v>
      </c>
      <c r="L21" s="33">
        <f t="shared" ref="L21:S21" si="9">AVERAGE(L16:L20)</f>
        <v>32505.944</v>
      </c>
      <c r="M21" s="33">
        <f t="shared" si="9"/>
        <v>32505.942000000003</v>
      </c>
      <c r="N21" s="33">
        <f t="shared" si="9"/>
        <v>0</v>
      </c>
      <c r="O21" s="33">
        <f t="shared" si="9"/>
        <v>14.85</v>
      </c>
      <c r="P21" s="33">
        <f t="shared" si="9"/>
        <v>32505.944</v>
      </c>
      <c r="Q21" s="33">
        <f t="shared" si="9"/>
        <v>32505.942000000003</v>
      </c>
      <c r="R21" s="33">
        <f t="shared" si="9"/>
        <v>0</v>
      </c>
      <c r="S21" s="33">
        <f t="shared" si="9"/>
        <v>15.645999999999997</v>
      </c>
      <c r="T21" s="8">
        <f t="shared" ref="T21:W21" si="10">AVERAGE(T16:T20)</f>
        <v>32505.944</v>
      </c>
      <c r="U21" s="8">
        <f t="shared" si="10"/>
        <v>32505.944</v>
      </c>
      <c r="V21" s="8">
        <f t="shared" si="10"/>
        <v>0</v>
      </c>
      <c r="W21" s="8">
        <f t="shared" si="10"/>
        <v>0.21399999999999997</v>
      </c>
      <c r="X21" s="8">
        <f t="shared" ref="X21:AE21" si="11">AVERAGE(X16:X20)</f>
        <v>32505.944</v>
      </c>
      <c r="Y21" s="8">
        <f t="shared" si="11"/>
        <v>32505.944</v>
      </c>
      <c r="Z21" s="8">
        <f t="shared" si="11"/>
        <v>0</v>
      </c>
      <c r="AA21" s="8">
        <f t="shared" si="11"/>
        <v>0.22799999999999998</v>
      </c>
      <c r="AB21" s="8">
        <f t="shared" si="11"/>
        <v>32505.944</v>
      </c>
      <c r="AC21" s="8">
        <f t="shared" si="11"/>
        <v>32505.944</v>
      </c>
      <c r="AD21" s="8">
        <f t="shared" si="11"/>
        <v>0</v>
      </c>
      <c r="AE21" s="8">
        <f t="shared" si="11"/>
        <v>0.28599999999999998</v>
      </c>
    </row>
    <row r="22" spans="1:31">
      <c r="A22" s="109"/>
      <c r="B22" s="100"/>
      <c r="C22" s="104">
        <v>4</v>
      </c>
      <c r="D22" s="32">
        <v>10237.34</v>
      </c>
      <c r="E22" s="32">
        <v>10237.34</v>
      </c>
      <c r="F22" s="32">
        <v>0</v>
      </c>
      <c r="G22" s="32">
        <v>4.74</v>
      </c>
      <c r="H22" s="32">
        <v>10237.34</v>
      </c>
      <c r="I22" s="32">
        <v>10237.34</v>
      </c>
      <c r="J22" s="32">
        <v>0</v>
      </c>
      <c r="K22" s="32">
        <v>12.06</v>
      </c>
      <c r="L22" s="32">
        <v>10237.34</v>
      </c>
      <c r="M22" s="32">
        <v>10237.34</v>
      </c>
      <c r="N22" s="32">
        <v>0</v>
      </c>
      <c r="O22" s="32">
        <v>13.33</v>
      </c>
      <c r="P22" s="32">
        <v>10237.34</v>
      </c>
      <c r="Q22" s="32">
        <v>10237.34</v>
      </c>
      <c r="R22" s="32">
        <v>0</v>
      </c>
      <c r="S22" s="32">
        <v>11.92</v>
      </c>
      <c r="T22" s="5">
        <v>10237.34</v>
      </c>
      <c r="U22" s="5">
        <v>10237.34</v>
      </c>
      <c r="V22" s="5">
        <v>0</v>
      </c>
      <c r="W22" s="5">
        <v>0.63</v>
      </c>
      <c r="X22" s="5">
        <v>10237.34</v>
      </c>
      <c r="Y22" s="5">
        <v>10237.34</v>
      </c>
      <c r="Z22" s="5">
        <v>0</v>
      </c>
      <c r="AA22" s="5">
        <v>0.23</v>
      </c>
      <c r="AB22" s="5">
        <v>10237.34</v>
      </c>
      <c r="AC22" s="5">
        <v>10237.34</v>
      </c>
      <c r="AD22" s="5">
        <v>0</v>
      </c>
      <c r="AE22" s="5">
        <v>0.32</v>
      </c>
    </row>
    <row r="23" spans="1:31">
      <c r="A23" s="109"/>
      <c r="B23" s="100"/>
      <c r="C23" s="102"/>
      <c r="D23" s="32">
        <v>14838.71</v>
      </c>
      <c r="E23" s="32">
        <v>14838.71</v>
      </c>
      <c r="F23" s="32">
        <v>0</v>
      </c>
      <c r="G23" s="32">
        <v>2.09</v>
      </c>
      <c r="H23" s="32">
        <v>14838.71</v>
      </c>
      <c r="I23" s="32">
        <v>14838.71</v>
      </c>
      <c r="J23" s="32">
        <v>0</v>
      </c>
      <c r="K23" s="32">
        <v>16.52</v>
      </c>
      <c r="L23" s="32">
        <v>14838.71</v>
      </c>
      <c r="M23" s="32">
        <v>14838.71</v>
      </c>
      <c r="N23" s="32">
        <v>0</v>
      </c>
      <c r="O23" s="32">
        <v>13.94</v>
      </c>
      <c r="P23" s="32">
        <v>14838.71</v>
      </c>
      <c r="Q23" s="32">
        <v>14838.71</v>
      </c>
      <c r="R23" s="32">
        <v>0</v>
      </c>
      <c r="S23" s="32">
        <v>17.87</v>
      </c>
      <c r="T23" s="5">
        <v>14838.71</v>
      </c>
      <c r="U23" s="5">
        <v>14838.71</v>
      </c>
      <c r="V23" s="5">
        <v>0</v>
      </c>
      <c r="W23" s="45">
        <v>0.27</v>
      </c>
      <c r="X23" s="5">
        <v>14838.71</v>
      </c>
      <c r="Y23" s="5">
        <v>14838.71</v>
      </c>
      <c r="Z23" s="5">
        <v>0</v>
      </c>
      <c r="AA23" s="5">
        <v>0.28999999999999998</v>
      </c>
      <c r="AB23" s="5">
        <v>14838.71</v>
      </c>
      <c r="AC23" s="5">
        <v>14838.71</v>
      </c>
      <c r="AD23" s="5">
        <v>0</v>
      </c>
      <c r="AE23" s="5">
        <v>0.49</v>
      </c>
    </row>
    <row r="24" spans="1:31">
      <c r="A24" s="109"/>
      <c r="B24" s="100"/>
      <c r="C24" s="102"/>
      <c r="D24" s="32">
        <v>20464.03</v>
      </c>
      <c r="E24" s="32">
        <v>20464.03</v>
      </c>
      <c r="F24" s="32">
        <v>0</v>
      </c>
      <c r="G24" s="32">
        <v>5.01</v>
      </c>
      <c r="H24" s="32">
        <v>20464.03</v>
      </c>
      <c r="I24" s="32">
        <v>20464.03</v>
      </c>
      <c r="J24" s="32">
        <v>0</v>
      </c>
      <c r="K24" s="32">
        <v>13.21</v>
      </c>
      <c r="L24" s="32">
        <v>20464.03</v>
      </c>
      <c r="M24" s="32">
        <v>20464.03</v>
      </c>
      <c r="N24" s="32">
        <v>0</v>
      </c>
      <c r="O24" s="32">
        <v>10.16</v>
      </c>
      <c r="P24" s="32">
        <v>20464.03</v>
      </c>
      <c r="Q24" s="32">
        <v>20464.03</v>
      </c>
      <c r="R24" s="32">
        <v>0</v>
      </c>
      <c r="S24" s="32">
        <v>15.72</v>
      </c>
      <c r="T24" s="5">
        <v>20464.03</v>
      </c>
      <c r="U24" s="5">
        <v>20464.03</v>
      </c>
      <c r="V24" s="5">
        <v>0</v>
      </c>
      <c r="W24" s="5">
        <v>0.24</v>
      </c>
      <c r="X24" s="5">
        <v>20464.03</v>
      </c>
      <c r="Y24" s="5">
        <v>20464.03</v>
      </c>
      <c r="Z24" s="5">
        <v>0</v>
      </c>
      <c r="AA24" s="5">
        <v>0.27</v>
      </c>
      <c r="AB24" s="5">
        <v>20464.03</v>
      </c>
      <c r="AC24" s="5">
        <v>20464.03</v>
      </c>
      <c r="AD24" s="5">
        <v>0</v>
      </c>
      <c r="AE24" s="5">
        <v>0.45</v>
      </c>
    </row>
    <row r="25" spans="1:31">
      <c r="A25" s="109"/>
      <c r="B25" s="100"/>
      <c r="C25" s="102"/>
      <c r="D25" s="32">
        <v>17350.88</v>
      </c>
      <c r="E25" s="32">
        <v>17350.88</v>
      </c>
      <c r="F25" s="32">
        <v>0</v>
      </c>
      <c r="G25" s="32">
        <v>5.7</v>
      </c>
      <c r="H25" s="32">
        <v>17350.88</v>
      </c>
      <c r="I25" s="32">
        <v>17350.88</v>
      </c>
      <c r="J25" s="32">
        <v>0</v>
      </c>
      <c r="K25" s="32">
        <v>13.16</v>
      </c>
      <c r="L25" s="32">
        <v>17350.88</v>
      </c>
      <c r="M25" s="32">
        <v>17350.88</v>
      </c>
      <c r="N25" s="32">
        <v>0</v>
      </c>
      <c r="O25" s="32">
        <v>12.19</v>
      </c>
      <c r="P25" s="32">
        <v>17350.88</v>
      </c>
      <c r="Q25" s="32">
        <v>17350.88</v>
      </c>
      <c r="R25" s="32">
        <v>0</v>
      </c>
      <c r="S25" s="32">
        <v>16.04</v>
      </c>
      <c r="T25" s="5">
        <v>17350.88</v>
      </c>
      <c r="U25" s="5">
        <v>17350.88</v>
      </c>
      <c r="V25" s="5">
        <v>0</v>
      </c>
      <c r="W25" s="5">
        <v>0.25</v>
      </c>
      <c r="X25" s="5">
        <v>17350.88</v>
      </c>
      <c r="Y25" s="5">
        <v>17350.88</v>
      </c>
      <c r="Z25" s="5">
        <v>0</v>
      </c>
      <c r="AA25" s="5">
        <v>0.28000000000000003</v>
      </c>
      <c r="AB25" s="5">
        <v>17350.88</v>
      </c>
      <c r="AC25" s="5">
        <v>17350.88</v>
      </c>
      <c r="AD25" s="5">
        <v>0</v>
      </c>
      <c r="AE25" s="5">
        <v>0.35</v>
      </c>
    </row>
    <row r="26" spans="1:31">
      <c r="A26" s="109"/>
      <c r="B26" s="100"/>
      <c r="C26" s="103"/>
      <c r="D26" s="32">
        <v>17429.439999999999</v>
      </c>
      <c r="E26" s="32">
        <v>17429.439999999999</v>
      </c>
      <c r="F26" s="32">
        <v>0</v>
      </c>
      <c r="G26" s="32">
        <v>3.63</v>
      </c>
      <c r="H26" s="32">
        <v>17429.439999999999</v>
      </c>
      <c r="I26" s="32">
        <v>17429.439999999999</v>
      </c>
      <c r="J26" s="32">
        <v>0</v>
      </c>
      <c r="K26" s="32">
        <v>15.28</v>
      </c>
      <c r="L26" s="32">
        <v>17429.439999999999</v>
      </c>
      <c r="M26" s="32">
        <v>17429.439999999999</v>
      </c>
      <c r="N26" s="32">
        <v>0</v>
      </c>
      <c r="O26" s="32">
        <v>14.26</v>
      </c>
      <c r="P26" s="32">
        <v>17429.439999999999</v>
      </c>
      <c r="Q26" s="32">
        <v>17429.439999999999</v>
      </c>
      <c r="R26" s="32">
        <v>0</v>
      </c>
      <c r="S26" s="32">
        <v>15.04</v>
      </c>
      <c r="T26" s="5">
        <v>17429.439999999999</v>
      </c>
      <c r="U26" s="5">
        <v>17429.439999999999</v>
      </c>
      <c r="V26" s="5">
        <v>0</v>
      </c>
      <c r="W26" s="5">
        <v>0.83</v>
      </c>
      <c r="X26" s="5">
        <v>17429.439999999999</v>
      </c>
      <c r="Y26" s="5">
        <v>17429.439999999999</v>
      </c>
      <c r="Z26" s="5">
        <v>0</v>
      </c>
      <c r="AA26" s="5">
        <v>0.27</v>
      </c>
      <c r="AB26" s="5">
        <v>17429.439999999999</v>
      </c>
      <c r="AC26" s="5">
        <v>17429.439999999999</v>
      </c>
      <c r="AD26" s="5">
        <v>0</v>
      </c>
      <c r="AE26" s="5">
        <v>0.34</v>
      </c>
    </row>
    <row r="27" spans="1:31">
      <c r="A27" s="109"/>
      <c r="B27" s="100"/>
      <c r="C27" s="41"/>
      <c r="D27" s="38">
        <f>AVERAGE(D22:D26)</f>
        <v>16064.080000000002</v>
      </c>
      <c r="E27" s="38">
        <f>AVERAGE(E22:E26)</f>
        <v>16064.080000000002</v>
      </c>
      <c r="F27" s="38">
        <f>AVERAGE(F22:F26)</f>
        <v>0</v>
      </c>
      <c r="G27" s="38">
        <f>AVERAGE(G22:G26)</f>
        <v>4.234</v>
      </c>
      <c r="H27" s="38">
        <f t="shared" ref="H27:K27" si="12">AVERAGE(H22:H26)</f>
        <v>16064.080000000002</v>
      </c>
      <c r="I27" s="38">
        <f t="shared" si="12"/>
        <v>16064.080000000002</v>
      </c>
      <c r="J27" s="38">
        <f t="shared" si="12"/>
        <v>0</v>
      </c>
      <c r="K27" s="38">
        <f t="shared" si="12"/>
        <v>14.046000000000001</v>
      </c>
      <c r="L27" s="38">
        <f t="shared" ref="L27:S27" si="13">AVERAGE(L22:L26)</f>
        <v>16064.080000000002</v>
      </c>
      <c r="M27" s="38">
        <f t="shared" si="13"/>
        <v>16064.080000000002</v>
      </c>
      <c r="N27" s="38">
        <f t="shared" si="13"/>
        <v>0</v>
      </c>
      <c r="O27" s="38">
        <f t="shared" si="13"/>
        <v>12.776</v>
      </c>
      <c r="P27" s="38">
        <f t="shared" si="13"/>
        <v>16064.080000000002</v>
      </c>
      <c r="Q27" s="38">
        <f t="shared" si="13"/>
        <v>16064.080000000002</v>
      </c>
      <c r="R27" s="38">
        <f t="shared" si="13"/>
        <v>0</v>
      </c>
      <c r="S27" s="38">
        <f t="shared" si="13"/>
        <v>15.318000000000001</v>
      </c>
      <c r="T27" s="37">
        <f t="shared" ref="T27:W27" si="14">AVERAGE(T22:T26)</f>
        <v>16064.080000000002</v>
      </c>
      <c r="U27" s="37">
        <f t="shared" si="14"/>
        <v>16064.080000000002</v>
      </c>
      <c r="V27" s="37">
        <f t="shared" si="14"/>
        <v>0</v>
      </c>
      <c r="W27" s="37">
        <f t="shared" si="14"/>
        <v>0.44400000000000006</v>
      </c>
      <c r="X27" s="37">
        <f t="shared" ref="X27:AE27" si="15">AVERAGE(X22:X26)</f>
        <v>16064.080000000002</v>
      </c>
      <c r="Y27" s="37">
        <f t="shared" si="15"/>
        <v>16064.080000000002</v>
      </c>
      <c r="Z27" s="37">
        <f t="shared" si="15"/>
        <v>0</v>
      </c>
      <c r="AA27" s="37">
        <f t="shared" si="15"/>
        <v>0.26800000000000002</v>
      </c>
      <c r="AB27" s="37">
        <f t="shared" si="15"/>
        <v>16064.080000000002</v>
      </c>
      <c r="AC27" s="37">
        <f t="shared" si="15"/>
        <v>16064.080000000002</v>
      </c>
      <c r="AD27" s="37">
        <f t="shared" si="15"/>
        <v>0</v>
      </c>
      <c r="AE27" s="37">
        <f t="shared" si="15"/>
        <v>0.39</v>
      </c>
    </row>
    <row r="28" spans="1:31">
      <c r="A28" s="109"/>
      <c r="B28" s="106">
        <v>15</v>
      </c>
      <c r="C28" s="107">
        <v>3</v>
      </c>
      <c r="D28" s="21">
        <v>87104.13</v>
      </c>
      <c r="E28" s="21">
        <v>29149.87</v>
      </c>
      <c r="F28" s="21">
        <v>66.53</v>
      </c>
      <c r="G28" s="21">
        <v>3600</v>
      </c>
      <c r="H28" s="3">
        <v>87104.13</v>
      </c>
      <c r="I28" s="3">
        <v>87104.13</v>
      </c>
      <c r="J28" s="3">
        <v>0</v>
      </c>
      <c r="K28" s="21">
        <v>1807.1</v>
      </c>
      <c r="L28" s="3">
        <v>87104.13</v>
      </c>
      <c r="M28" s="3">
        <v>87104.13</v>
      </c>
      <c r="N28" s="3">
        <v>0</v>
      </c>
      <c r="O28" s="21">
        <v>2156.13</v>
      </c>
      <c r="P28" s="3">
        <v>87104.13</v>
      </c>
      <c r="Q28" s="3">
        <v>87104.13</v>
      </c>
      <c r="R28" s="3">
        <v>0</v>
      </c>
      <c r="S28" s="3">
        <v>2475.7600000000002</v>
      </c>
      <c r="T28" s="3">
        <v>87104.13</v>
      </c>
      <c r="U28" s="3">
        <v>87104.13</v>
      </c>
      <c r="V28" s="3">
        <v>0</v>
      </c>
      <c r="W28" s="3">
        <v>49.32</v>
      </c>
      <c r="X28" s="3">
        <v>87104.13</v>
      </c>
      <c r="Y28" s="3">
        <v>87104.13</v>
      </c>
      <c r="Z28" s="3">
        <v>0</v>
      </c>
      <c r="AA28" s="3">
        <v>67.209999999999994</v>
      </c>
      <c r="AB28" s="3">
        <v>87104.13</v>
      </c>
      <c r="AC28" s="3">
        <v>87104.13</v>
      </c>
      <c r="AD28" s="3">
        <v>0</v>
      </c>
      <c r="AE28" s="3">
        <v>121.02</v>
      </c>
    </row>
    <row r="29" spans="1:31">
      <c r="A29" s="109"/>
      <c r="B29" s="106"/>
      <c r="C29" s="107"/>
      <c r="D29" s="21">
        <v>43628.54</v>
      </c>
      <c r="E29" s="21">
        <v>20497.259999999998</v>
      </c>
      <c r="F29" s="21">
        <v>53.02</v>
      </c>
      <c r="G29" s="21">
        <v>3600</v>
      </c>
      <c r="H29" s="3">
        <v>43628.54</v>
      </c>
      <c r="I29" s="3">
        <v>43628.54</v>
      </c>
      <c r="J29" s="3">
        <v>0</v>
      </c>
      <c r="K29" s="21">
        <v>2243.12</v>
      </c>
      <c r="L29" s="3">
        <v>43628.54</v>
      </c>
      <c r="M29" s="3">
        <v>43628.54</v>
      </c>
      <c r="N29" s="3">
        <v>0</v>
      </c>
      <c r="O29" s="21">
        <v>2342.52</v>
      </c>
      <c r="P29" s="3">
        <v>43628.54</v>
      </c>
      <c r="Q29" s="3">
        <v>43628.54</v>
      </c>
      <c r="R29" s="3">
        <v>0</v>
      </c>
      <c r="S29" s="21">
        <v>2979.16</v>
      </c>
      <c r="T29" s="3">
        <v>43628.54</v>
      </c>
      <c r="U29" s="3">
        <v>43628.54</v>
      </c>
      <c r="V29" s="3">
        <v>0</v>
      </c>
      <c r="W29" s="3">
        <v>39.35</v>
      </c>
      <c r="X29" s="3">
        <v>43628.54</v>
      </c>
      <c r="Y29" s="3">
        <v>43628.54</v>
      </c>
      <c r="Z29" s="3">
        <v>0</v>
      </c>
      <c r="AA29" s="3">
        <v>72.34</v>
      </c>
      <c r="AB29" s="3">
        <v>43628.54</v>
      </c>
      <c r="AC29" s="3">
        <v>43628.54</v>
      </c>
      <c r="AD29" s="3">
        <v>0</v>
      </c>
      <c r="AE29" s="3">
        <v>154.84</v>
      </c>
    </row>
    <row r="30" spans="1:31">
      <c r="A30" s="109"/>
      <c r="B30" s="106"/>
      <c r="C30" s="107"/>
      <c r="D30" s="21">
        <v>148657.60999999999</v>
      </c>
      <c r="E30" s="21">
        <v>41689.54</v>
      </c>
      <c r="F30" s="21">
        <v>71.959999999999994</v>
      </c>
      <c r="G30" s="21">
        <v>3600</v>
      </c>
      <c r="H30" s="21">
        <v>145195.22</v>
      </c>
      <c r="I30" s="21">
        <v>145195.22</v>
      </c>
      <c r="J30" s="3">
        <v>0</v>
      </c>
      <c r="K30" s="21">
        <v>2303.08</v>
      </c>
      <c r="L30" s="21">
        <v>145195.22</v>
      </c>
      <c r="M30" s="21">
        <v>145195.22</v>
      </c>
      <c r="N30" s="3">
        <v>0</v>
      </c>
      <c r="O30" s="21">
        <v>2495.8200000000002</v>
      </c>
      <c r="P30" s="21">
        <v>145195.22</v>
      </c>
      <c r="Q30" s="21">
        <v>145195.22</v>
      </c>
      <c r="R30" s="3">
        <v>0</v>
      </c>
      <c r="S30" s="21">
        <v>3194.84</v>
      </c>
      <c r="T30" s="21">
        <v>145195.22</v>
      </c>
      <c r="U30" s="21">
        <v>145195.22</v>
      </c>
      <c r="V30" s="3">
        <v>0</v>
      </c>
      <c r="W30" s="3">
        <v>56.95</v>
      </c>
      <c r="X30" s="21">
        <v>145195.22</v>
      </c>
      <c r="Y30" s="21">
        <v>145195.22</v>
      </c>
      <c r="Z30" s="3">
        <v>0</v>
      </c>
      <c r="AA30" s="3">
        <v>154.4</v>
      </c>
      <c r="AB30" s="21">
        <v>145195.22</v>
      </c>
      <c r="AC30" s="21">
        <v>145195.22</v>
      </c>
      <c r="AD30" s="3">
        <v>0</v>
      </c>
      <c r="AE30" s="3">
        <v>324.95999999999998</v>
      </c>
    </row>
    <row r="31" spans="1:31">
      <c r="A31" s="109"/>
      <c r="B31" s="106"/>
      <c r="C31" s="107"/>
      <c r="D31" s="21">
        <v>55399.82</v>
      </c>
      <c r="E31" s="21">
        <v>25124.62</v>
      </c>
      <c r="F31" s="21">
        <v>54.65</v>
      </c>
      <c r="G31" s="21">
        <v>3600</v>
      </c>
      <c r="H31" s="3">
        <v>55412.52</v>
      </c>
      <c r="I31" s="3">
        <v>55412.52</v>
      </c>
      <c r="J31" s="3">
        <v>0</v>
      </c>
      <c r="K31" s="21">
        <v>2374.23</v>
      </c>
      <c r="L31" s="3">
        <v>55412.52</v>
      </c>
      <c r="M31" s="3">
        <v>55412.52</v>
      </c>
      <c r="N31" s="3">
        <v>0</v>
      </c>
      <c r="O31" s="21">
        <v>2463.09</v>
      </c>
      <c r="P31" s="3">
        <v>55412.52</v>
      </c>
      <c r="Q31" s="3">
        <v>55412.52</v>
      </c>
      <c r="R31" s="3">
        <v>0</v>
      </c>
      <c r="S31" s="21">
        <v>2914.27</v>
      </c>
      <c r="T31" s="3">
        <v>55412.52</v>
      </c>
      <c r="U31" s="3">
        <v>55412.52</v>
      </c>
      <c r="V31" s="3">
        <v>0</v>
      </c>
      <c r="W31" s="3">
        <v>50.27</v>
      </c>
      <c r="X31" s="3">
        <v>55412.52</v>
      </c>
      <c r="Y31" s="3">
        <v>55412.52</v>
      </c>
      <c r="Z31" s="3">
        <v>0</v>
      </c>
      <c r="AA31" s="3">
        <v>92.11</v>
      </c>
      <c r="AB31" s="3">
        <v>55412.52</v>
      </c>
      <c r="AC31" s="3">
        <v>55412.52</v>
      </c>
      <c r="AD31" s="3">
        <v>0</v>
      </c>
      <c r="AE31" s="3">
        <v>183.4</v>
      </c>
    </row>
    <row r="32" spans="1:31">
      <c r="A32" s="109"/>
      <c r="B32" s="106"/>
      <c r="C32" s="107"/>
      <c r="D32" s="21">
        <v>55121.83</v>
      </c>
      <c r="E32" s="21">
        <v>23436.29</v>
      </c>
      <c r="F32" s="21">
        <v>57.48</v>
      </c>
      <c r="G32" s="21">
        <v>3600</v>
      </c>
      <c r="H32" s="3">
        <v>55121.83</v>
      </c>
      <c r="I32" s="3">
        <v>55121.83</v>
      </c>
      <c r="J32" s="3">
        <v>0</v>
      </c>
      <c r="K32" s="21">
        <v>2668.06</v>
      </c>
      <c r="L32" s="3">
        <v>55121.83</v>
      </c>
      <c r="M32" s="3">
        <v>55121.83</v>
      </c>
      <c r="N32" s="3">
        <v>0</v>
      </c>
      <c r="O32" s="21">
        <v>3064.68</v>
      </c>
      <c r="P32" s="3">
        <v>55121.83</v>
      </c>
      <c r="Q32" s="3">
        <v>55121.83</v>
      </c>
      <c r="R32" s="3">
        <v>0</v>
      </c>
      <c r="S32" s="21">
        <v>3399.31</v>
      </c>
      <c r="T32" s="3">
        <v>55121.83</v>
      </c>
      <c r="U32" s="3">
        <v>55121.83</v>
      </c>
      <c r="V32" s="3">
        <v>0</v>
      </c>
      <c r="W32" s="3">
        <v>50.91</v>
      </c>
      <c r="X32" s="3">
        <v>55121.83</v>
      </c>
      <c r="Y32" s="3">
        <v>55121.83</v>
      </c>
      <c r="Z32" s="3">
        <v>0</v>
      </c>
      <c r="AA32" s="3">
        <v>107.53</v>
      </c>
      <c r="AB32" s="3">
        <v>55121.83</v>
      </c>
      <c r="AC32" s="3">
        <v>55121.83</v>
      </c>
      <c r="AD32" s="3">
        <v>0</v>
      </c>
      <c r="AE32" s="3">
        <v>225</v>
      </c>
    </row>
    <row r="33" spans="1:31">
      <c r="A33" s="109"/>
      <c r="B33" s="106"/>
      <c r="C33" s="42"/>
      <c r="D33" s="8">
        <f>AVERAGE(D28:D32)</f>
        <v>77982.386000000013</v>
      </c>
      <c r="E33" s="8">
        <f>AVERAGE(E28:E32)</f>
        <v>27979.515999999996</v>
      </c>
      <c r="F33" s="8">
        <f>AVERAGE(F28:F32)</f>
        <v>60.727999999999994</v>
      </c>
      <c r="G33" s="8">
        <f>AVERAGE(G28:G32)</f>
        <v>3600</v>
      </c>
      <c r="H33" s="33">
        <f t="shared" ref="H33:K33" si="16">AVERAGE(H28:H32)</f>
        <v>77292.448000000004</v>
      </c>
      <c r="I33" s="33">
        <f t="shared" si="16"/>
        <v>77292.448000000004</v>
      </c>
      <c r="J33" s="33">
        <f t="shared" si="16"/>
        <v>0</v>
      </c>
      <c r="K33" s="33">
        <f t="shared" si="16"/>
        <v>2279.1179999999995</v>
      </c>
      <c r="L33" s="33">
        <f t="shared" ref="L33:AE33" si="17">AVERAGE(L28:L32)</f>
        <v>77292.448000000004</v>
      </c>
      <c r="M33" s="33">
        <f t="shared" si="17"/>
        <v>77292.448000000004</v>
      </c>
      <c r="N33" s="33">
        <f t="shared" si="17"/>
        <v>0</v>
      </c>
      <c r="O33" s="33">
        <f t="shared" si="17"/>
        <v>2504.4479999999999</v>
      </c>
      <c r="P33" s="33">
        <f t="shared" si="17"/>
        <v>77292.448000000004</v>
      </c>
      <c r="Q33" s="33">
        <f t="shared" si="17"/>
        <v>77292.448000000004</v>
      </c>
      <c r="R33" s="33">
        <f t="shared" si="17"/>
        <v>0</v>
      </c>
      <c r="S33" s="33">
        <f t="shared" si="17"/>
        <v>2992.6680000000001</v>
      </c>
      <c r="T33" s="8">
        <f t="shared" si="17"/>
        <v>77292.448000000004</v>
      </c>
      <c r="U33" s="8">
        <f t="shared" si="17"/>
        <v>77292.448000000004</v>
      </c>
      <c r="V33" s="8">
        <f t="shared" si="17"/>
        <v>0</v>
      </c>
      <c r="W33" s="8">
        <f t="shared" si="17"/>
        <v>49.36</v>
      </c>
      <c r="X33" s="8">
        <f t="shared" si="17"/>
        <v>77292.448000000004</v>
      </c>
      <c r="Y33" s="8">
        <f t="shared" si="17"/>
        <v>77292.448000000004</v>
      </c>
      <c r="Z33" s="8">
        <f t="shared" si="17"/>
        <v>0</v>
      </c>
      <c r="AA33" s="8">
        <f t="shared" si="17"/>
        <v>98.718000000000004</v>
      </c>
      <c r="AB33" s="8">
        <f t="shared" si="17"/>
        <v>77292.448000000004</v>
      </c>
      <c r="AC33" s="8">
        <f t="shared" si="17"/>
        <v>77292.448000000004</v>
      </c>
      <c r="AD33" s="8">
        <f t="shared" si="17"/>
        <v>0</v>
      </c>
      <c r="AE33" s="8">
        <f t="shared" si="17"/>
        <v>201.84399999999999</v>
      </c>
    </row>
    <row r="34" spans="1:31">
      <c r="A34" s="109"/>
      <c r="B34" s="106"/>
      <c r="C34" s="107">
        <v>4</v>
      </c>
      <c r="D34" s="32">
        <v>28637.82</v>
      </c>
      <c r="E34" s="32">
        <v>19280.73</v>
      </c>
      <c r="F34" s="32">
        <v>32.67</v>
      </c>
      <c r="G34" s="32">
        <v>3600</v>
      </c>
      <c r="H34" s="32">
        <v>28637.82</v>
      </c>
      <c r="I34" s="32">
        <v>27604.77</v>
      </c>
      <c r="J34" s="32">
        <v>3.61</v>
      </c>
      <c r="K34" s="32">
        <v>3600.27</v>
      </c>
      <c r="L34" s="32">
        <v>28671.02</v>
      </c>
      <c r="M34" s="32">
        <v>27248.73</v>
      </c>
      <c r="N34" s="32">
        <v>4.96</v>
      </c>
      <c r="O34" s="32">
        <v>3600.41</v>
      </c>
      <c r="P34" s="32">
        <v>28670.75</v>
      </c>
      <c r="Q34" s="32">
        <v>26685.03</v>
      </c>
      <c r="R34" s="32">
        <v>6.93</v>
      </c>
      <c r="S34" s="32">
        <v>3600.02</v>
      </c>
      <c r="T34" s="5">
        <v>28637.82</v>
      </c>
      <c r="U34" s="5">
        <v>28637.82</v>
      </c>
      <c r="V34" s="5">
        <v>0</v>
      </c>
      <c r="W34" s="5">
        <v>184.43</v>
      </c>
      <c r="X34" s="5">
        <v>28637.82</v>
      </c>
      <c r="Y34" s="5">
        <v>28637.82</v>
      </c>
      <c r="Z34" s="5">
        <v>0</v>
      </c>
      <c r="AA34" s="5">
        <v>202.63</v>
      </c>
      <c r="AB34" s="5">
        <v>28637.82</v>
      </c>
      <c r="AC34" s="5">
        <v>28637.82</v>
      </c>
      <c r="AD34" s="5">
        <v>0</v>
      </c>
      <c r="AE34" s="5">
        <v>360.92</v>
      </c>
    </row>
    <row r="35" spans="1:31">
      <c r="A35" s="109"/>
      <c r="B35" s="106"/>
      <c r="C35" s="107"/>
      <c r="D35" s="32">
        <v>57612.6</v>
      </c>
      <c r="E35" s="32">
        <v>31683.73</v>
      </c>
      <c r="F35" s="32">
        <v>45.01</v>
      </c>
      <c r="G35" s="32">
        <v>3600</v>
      </c>
      <c r="H35" s="32">
        <v>57612.6</v>
      </c>
      <c r="I35" s="32">
        <v>57612.6</v>
      </c>
      <c r="J35" s="32">
        <v>0</v>
      </c>
      <c r="K35" s="32">
        <v>3593.84</v>
      </c>
      <c r="L35" s="32">
        <v>57612.6</v>
      </c>
      <c r="M35" s="32">
        <v>55872.59</v>
      </c>
      <c r="N35" s="32">
        <v>3.02</v>
      </c>
      <c r="O35" s="32">
        <v>3600.02</v>
      </c>
      <c r="P35" s="32">
        <v>57612.6</v>
      </c>
      <c r="Q35" s="32">
        <v>54036.26</v>
      </c>
      <c r="R35" s="32">
        <v>6.21</v>
      </c>
      <c r="S35" s="32">
        <v>3600.09</v>
      </c>
      <c r="T35" s="5">
        <v>57612.6</v>
      </c>
      <c r="U35" s="5">
        <v>57612.6</v>
      </c>
      <c r="V35" s="5">
        <v>0</v>
      </c>
      <c r="W35" s="5">
        <v>85.25</v>
      </c>
      <c r="X35" s="5">
        <v>57612.6</v>
      </c>
      <c r="Y35" s="5">
        <v>57612.6</v>
      </c>
      <c r="Z35" s="5">
        <v>0</v>
      </c>
      <c r="AA35" s="5">
        <v>147.16999999999999</v>
      </c>
      <c r="AB35" s="5">
        <v>57612.6</v>
      </c>
      <c r="AC35" s="5">
        <v>57612.6</v>
      </c>
      <c r="AD35" s="5">
        <v>0</v>
      </c>
      <c r="AE35" s="5">
        <v>260.51</v>
      </c>
    </row>
    <row r="36" spans="1:31">
      <c r="A36" s="109"/>
      <c r="B36" s="106"/>
      <c r="C36" s="107"/>
      <c r="D36" s="32">
        <v>54851.3</v>
      </c>
      <c r="E36" s="32">
        <v>31198.400000000001</v>
      </c>
      <c r="F36" s="32">
        <v>43.12</v>
      </c>
      <c r="G36" s="32">
        <v>3600</v>
      </c>
      <c r="H36" s="32">
        <v>54851.3</v>
      </c>
      <c r="I36" s="32">
        <v>54851.3</v>
      </c>
      <c r="J36" s="32">
        <v>0</v>
      </c>
      <c r="K36" s="32">
        <v>2661.84</v>
      </c>
      <c r="L36" s="32">
        <v>54851.3</v>
      </c>
      <c r="M36" s="32">
        <v>54453.94</v>
      </c>
      <c r="N36" s="32">
        <v>0.72</v>
      </c>
      <c r="O36" s="32">
        <v>3600.03</v>
      </c>
      <c r="P36" s="32">
        <v>54851.3</v>
      </c>
      <c r="Q36" s="32">
        <v>53420.18</v>
      </c>
      <c r="R36" s="32">
        <v>2.61</v>
      </c>
      <c r="S36" s="32">
        <v>3600.04</v>
      </c>
      <c r="T36" s="5">
        <v>54851.3</v>
      </c>
      <c r="U36" s="5">
        <v>54851.3</v>
      </c>
      <c r="V36" s="5">
        <v>0</v>
      </c>
      <c r="W36" s="5">
        <v>60.72</v>
      </c>
      <c r="X36" s="5">
        <v>54851.3</v>
      </c>
      <c r="Y36" s="5">
        <v>54851.3</v>
      </c>
      <c r="Z36" s="5">
        <v>0</v>
      </c>
      <c r="AA36" s="5">
        <v>80.67</v>
      </c>
      <c r="AB36" s="5">
        <v>54851.3</v>
      </c>
      <c r="AC36" s="5">
        <v>54851.3</v>
      </c>
      <c r="AD36" s="5">
        <v>0</v>
      </c>
      <c r="AE36" s="5">
        <v>209.25</v>
      </c>
    </row>
    <row r="37" spans="1:31">
      <c r="A37" s="109"/>
      <c r="B37" s="106"/>
      <c r="C37" s="107"/>
      <c r="D37" s="32">
        <v>82238.91</v>
      </c>
      <c r="E37" s="32">
        <v>44951</v>
      </c>
      <c r="F37" s="32">
        <v>45.34</v>
      </c>
      <c r="G37" s="32">
        <v>3600</v>
      </c>
      <c r="H37" s="32">
        <v>82238.91</v>
      </c>
      <c r="I37" s="32">
        <v>82238.91</v>
      </c>
      <c r="J37" s="32">
        <v>0</v>
      </c>
      <c r="K37" s="32">
        <v>1661.9</v>
      </c>
      <c r="L37" s="32">
        <v>82238.91</v>
      </c>
      <c r="M37" s="32">
        <v>82238.91</v>
      </c>
      <c r="N37" s="32">
        <v>0</v>
      </c>
      <c r="O37" s="32">
        <v>3198.42</v>
      </c>
      <c r="P37" s="32">
        <v>82238.91</v>
      </c>
      <c r="Q37" s="32">
        <v>82107.78</v>
      </c>
      <c r="R37" s="32">
        <v>0.16</v>
      </c>
      <c r="S37" s="32">
        <v>3600.05</v>
      </c>
      <c r="T37" s="5">
        <v>82238.91</v>
      </c>
      <c r="U37" s="5">
        <v>82238.91</v>
      </c>
      <c r="V37" s="5">
        <v>0</v>
      </c>
      <c r="W37" s="5">
        <v>51</v>
      </c>
      <c r="X37" s="5">
        <v>82238.91</v>
      </c>
      <c r="Y37" s="5">
        <v>82238.91</v>
      </c>
      <c r="Z37" s="5">
        <v>0</v>
      </c>
      <c r="AA37" s="5">
        <v>69.73</v>
      </c>
      <c r="AB37" s="5">
        <v>82238.91</v>
      </c>
      <c r="AC37" s="5">
        <v>82238.91</v>
      </c>
      <c r="AD37" s="5">
        <v>0</v>
      </c>
      <c r="AE37" s="5">
        <v>127.36</v>
      </c>
    </row>
    <row r="38" spans="1:31">
      <c r="A38" s="109"/>
      <c r="B38" s="106"/>
      <c r="C38" s="107"/>
      <c r="D38" s="32">
        <v>34169.31</v>
      </c>
      <c r="E38" s="32">
        <v>22383.26</v>
      </c>
      <c r="F38" s="32">
        <v>34.49</v>
      </c>
      <c r="G38" s="32">
        <v>3600</v>
      </c>
      <c r="H38" s="32">
        <v>34169.31</v>
      </c>
      <c r="I38" s="32">
        <v>33568.230000000003</v>
      </c>
      <c r="J38" s="32">
        <v>1.76</v>
      </c>
      <c r="K38" s="32">
        <v>3600.03</v>
      </c>
      <c r="L38" s="32">
        <v>34169.31</v>
      </c>
      <c r="M38" s="32">
        <v>33194.699999999997</v>
      </c>
      <c r="N38" s="32">
        <v>2.85</v>
      </c>
      <c r="O38" s="32">
        <v>3600.22</v>
      </c>
      <c r="P38" s="32">
        <v>34169.31</v>
      </c>
      <c r="Q38" s="32">
        <v>32065.98</v>
      </c>
      <c r="R38" s="32">
        <v>6.16</v>
      </c>
      <c r="S38" s="32">
        <v>3600.03</v>
      </c>
      <c r="T38" s="5">
        <v>34169.31</v>
      </c>
      <c r="U38" s="5">
        <v>34169.31</v>
      </c>
      <c r="V38" s="5">
        <v>0</v>
      </c>
      <c r="W38" s="5">
        <v>122.64</v>
      </c>
      <c r="X38" s="5">
        <v>34169.31</v>
      </c>
      <c r="Y38" s="5">
        <v>34169.31</v>
      </c>
      <c r="Z38" s="5">
        <v>0</v>
      </c>
      <c r="AA38" s="5">
        <v>114.13</v>
      </c>
      <c r="AB38" s="5">
        <v>34169.31</v>
      </c>
      <c r="AC38" s="5">
        <v>34169.31</v>
      </c>
      <c r="AD38" s="5">
        <v>0</v>
      </c>
      <c r="AE38" s="5">
        <v>254.68</v>
      </c>
    </row>
    <row r="39" spans="1:31">
      <c r="A39" s="109"/>
      <c r="B39" s="106"/>
      <c r="C39" s="42"/>
      <c r="D39" s="8">
        <f t="shared" ref="D39:K39" si="18">AVERAGE(D34:D38)</f>
        <v>51501.987999999998</v>
      </c>
      <c r="E39" s="8">
        <f t="shared" si="18"/>
        <v>29899.423999999999</v>
      </c>
      <c r="F39" s="8">
        <f t="shared" si="18"/>
        <v>40.126000000000005</v>
      </c>
      <c r="G39" s="8">
        <f t="shared" si="18"/>
        <v>3600</v>
      </c>
      <c r="H39" s="33">
        <f t="shared" si="18"/>
        <v>51501.987999999998</v>
      </c>
      <c r="I39" s="33">
        <f t="shared" si="18"/>
        <v>51175.161999999997</v>
      </c>
      <c r="J39" s="33">
        <f t="shared" si="18"/>
        <v>1.0740000000000001</v>
      </c>
      <c r="K39" s="33">
        <f t="shared" si="18"/>
        <v>3023.576</v>
      </c>
      <c r="L39" s="33">
        <f t="shared" ref="L39:AE39" si="19">AVERAGE(L34:L38)</f>
        <v>51508.627999999997</v>
      </c>
      <c r="M39" s="33">
        <f t="shared" si="19"/>
        <v>50601.773999999998</v>
      </c>
      <c r="N39" s="33">
        <f t="shared" si="19"/>
        <v>2.31</v>
      </c>
      <c r="O39" s="33">
        <f t="shared" si="19"/>
        <v>3519.8200000000006</v>
      </c>
      <c r="P39" s="33">
        <f t="shared" si="19"/>
        <v>51508.574000000008</v>
      </c>
      <c r="Q39" s="33">
        <f t="shared" si="19"/>
        <v>49663.046000000002</v>
      </c>
      <c r="R39" s="33">
        <f t="shared" si="19"/>
        <v>4.4139999999999997</v>
      </c>
      <c r="S39" s="33">
        <f t="shared" si="19"/>
        <v>3600.0459999999998</v>
      </c>
      <c r="T39" s="8">
        <f t="shared" si="19"/>
        <v>51501.987999999998</v>
      </c>
      <c r="U39" s="8">
        <f t="shared" si="19"/>
        <v>51501.987999999998</v>
      </c>
      <c r="V39" s="8">
        <f t="shared" si="19"/>
        <v>0</v>
      </c>
      <c r="W39" s="8">
        <f t="shared" si="19"/>
        <v>100.80799999999999</v>
      </c>
      <c r="X39" s="8">
        <f t="shared" si="19"/>
        <v>51501.987999999998</v>
      </c>
      <c r="Y39" s="8">
        <f t="shared" si="19"/>
        <v>51501.987999999998</v>
      </c>
      <c r="Z39" s="8">
        <f t="shared" si="19"/>
        <v>0</v>
      </c>
      <c r="AA39" s="8">
        <f t="shared" si="19"/>
        <v>122.86599999999999</v>
      </c>
      <c r="AB39" s="8">
        <f t="shared" si="19"/>
        <v>51501.987999999998</v>
      </c>
      <c r="AC39" s="8">
        <f t="shared" si="19"/>
        <v>51501.987999999998</v>
      </c>
      <c r="AD39" s="8">
        <f t="shared" si="19"/>
        <v>0</v>
      </c>
      <c r="AE39" s="8">
        <f t="shared" si="19"/>
        <v>242.54400000000001</v>
      </c>
    </row>
    <row r="40" spans="1:31">
      <c r="A40" s="109"/>
      <c r="B40" s="100">
        <v>20</v>
      </c>
      <c r="C40" s="102">
        <v>4</v>
      </c>
      <c r="D40" s="39">
        <v>160599.18</v>
      </c>
      <c r="E40" s="39">
        <v>39102.21</v>
      </c>
      <c r="F40" s="39">
        <v>75.650000000000006</v>
      </c>
      <c r="G40" s="21">
        <v>3600</v>
      </c>
      <c r="H40" s="39">
        <v>196140.21</v>
      </c>
      <c r="I40" s="39">
        <v>36356.5</v>
      </c>
      <c r="J40" s="39">
        <v>81.459999999999994</v>
      </c>
      <c r="K40" s="39">
        <v>3600.71</v>
      </c>
      <c r="L40" s="39">
        <v>180788.04</v>
      </c>
      <c r="M40" s="39">
        <v>41192.43</v>
      </c>
      <c r="N40" s="39">
        <v>77.22</v>
      </c>
      <c r="O40" s="39">
        <v>3600.07</v>
      </c>
      <c r="P40" s="39">
        <v>182364.75</v>
      </c>
      <c r="Q40" s="39">
        <v>39782.129999999997</v>
      </c>
      <c r="R40" s="39">
        <v>78.19</v>
      </c>
      <c r="S40" s="39">
        <v>3600.03</v>
      </c>
      <c r="T40" s="35">
        <v>159841.47</v>
      </c>
      <c r="U40" s="35">
        <v>89831.15</v>
      </c>
      <c r="V40" s="35">
        <v>43.8</v>
      </c>
      <c r="W40" s="35">
        <v>3600.03</v>
      </c>
      <c r="X40" s="35">
        <v>161375.54999999999</v>
      </c>
      <c r="Y40" s="35">
        <v>87975.99</v>
      </c>
      <c r="Z40" s="35">
        <v>45.48</v>
      </c>
      <c r="AA40" s="35">
        <v>3600.05</v>
      </c>
      <c r="AB40" s="35">
        <v>164491.96</v>
      </c>
      <c r="AC40" s="35">
        <v>73202.77</v>
      </c>
      <c r="AD40" s="35">
        <v>55.5</v>
      </c>
      <c r="AE40" s="35">
        <v>3600.07</v>
      </c>
    </row>
    <row r="41" spans="1:31">
      <c r="A41" s="109"/>
      <c r="B41" s="100"/>
      <c r="C41" s="102"/>
      <c r="D41" s="21">
        <v>156084.35</v>
      </c>
      <c r="E41" s="21">
        <v>42759.5</v>
      </c>
      <c r="F41" s="21">
        <v>72.599999999999994</v>
      </c>
      <c r="G41" s="21">
        <v>3600</v>
      </c>
      <c r="H41" s="21">
        <v>188569.71</v>
      </c>
      <c r="I41" s="21">
        <v>38207.69</v>
      </c>
      <c r="J41" s="21">
        <v>79.739999999999995</v>
      </c>
      <c r="K41" s="21">
        <v>3600.27</v>
      </c>
      <c r="L41" s="39">
        <v>195095.39</v>
      </c>
      <c r="M41" s="39">
        <v>36760.07</v>
      </c>
      <c r="N41" s="39">
        <v>81.16</v>
      </c>
      <c r="O41" s="39">
        <v>3600.08</v>
      </c>
      <c r="P41" s="39">
        <v>168949.33</v>
      </c>
      <c r="Q41" s="39">
        <v>38517.65</v>
      </c>
      <c r="R41" s="39">
        <v>77.2</v>
      </c>
      <c r="S41" s="39">
        <v>3600.07</v>
      </c>
      <c r="T41" s="3">
        <v>156463.26</v>
      </c>
      <c r="U41" s="3">
        <v>61885.77</v>
      </c>
      <c r="V41" s="3">
        <v>60.45</v>
      </c>
      <c r="W41" s="3">
        <v>3600.05</v>
      </c>
      <c r="X41" s="3">
        <v>155780.93</v>
      </c>
      <c r="Y41" s="3">
        <v>73320.759999999995</v>
      </c>
      <c r="Z41" s="3">
        <v>52.93</v>
      </c>
      <c r="AA41" s="3">
        <v>3600.04</v>
      </c>
      <c r="AB41" s="3">
        <v>157127.24</v>
      </c>
      <c r="AC41" s="3">
        <v>69261.66</v>
      </c>
      <c r="AD41" s="3">
        <v>55.92</v>
      </c>
      <c r="AE41" s="3">
        <v>3600.21</v>
      </c>
    </row>
    <row r="42" spans="1:31">
      <c r="A42" s="109"/>
      <c r="B42" s="100"/>
      <c r="C42" s="102"/>
      <c r="D42" s="21">
        <v>131578.85999999999</v>
      </c>
      <c r="E42" s="21">
        <v>41723.620000000003</v>
      </c>
      <c r="F42" s="21">
        <v>68.290000000000006</v>
      </c>
      <c r="G42" s="21">
        <v>3600</v>
      </c>
      <c r="H42" s="21">
        <v>143490.23000000001</v>
      </c>
      <c r="I42" s="21">
        <v>50221.919999999998</v>
      </c>
      <c r="J42" s="21">
        <v>65</v>
      </c>
      <c r="K42" s="21">
        <v>3600.01</v>
      </c>
      <c r="L42" s="21">
        <v>149977.81</v>
      </c>
      <c r="M42" s="21">
        <v>30815.040000000001</v>
      </c>
      <c r="N42" s="21">
        <v>79.45</v>
      </c>
      <c r="O42" s="21">
        <v>3600.03</v>
      </c>
      <c r="P42" s="21">
        <v>150140.72</v>
      </c>
      <c r="Q42" s="21">
        <v>51399.01</v>
      </c>
      <c r="R42" s="21">
        <v>65.77</v>
      </c>
      <c r="S42" s="21">
        <v>3600.06</v>
      </c>
      <c r="T42" s="3">
        <v>133211.65</v>
      </c>
      <c r="U42" s="3">
        <v>76319.75</v>
      </c>
      <c r="V42" s="3">
        <v>42.71</v>
      </c>
      <c r="W42" s="3">
        <v>3600.07</v>
      </c>
      <c r="X42" s="3">
        <v>131960.65</v>
      </c>
      <c r="Y42" s="3">
        <v>76265.850000000006</v>
      </c>
      <c r="Z42" s="3">
        <v>42.21</v>
      </c>
      <c r="AA42" s="3">
        <v>3600.11</v>
      </c>
      <c r="AB42" s="3">
        <v>132642.70000000001</v>
      </c>
      <c r="AC42" s="3">
        <v>74500.41</v>
      </c>
      <c r="AD42" s="3">
        <v>43.83</v>
      </c>
      <c r="AE42" s="3">
        <v>3600.07</v>
      </c>
    </row>
    <row r="43" spans="1:31">
      <c r="A43" s="109"/>
      <c r="B43" s="100"/>
      <c r="C43" s="102"/>
      <c r="D43" s="21">
        <v>84242.08</v>
      </c>
      <c r="E43" s="21">
        <v>28550.89</v>
      </c>
      <c r="F43" s="21">
        <v>66.11</v>
      </c>
      <c r="G43" s="21">
        <v>3600</v>
      </c>
      <c r="H43" s="21">
        <v>102876.75</v>
      </c>
      <c r="I43" s="21">
        <v>33459.980000000003</v>
      </c>
      <c r="J43" s="21">
        <v>67.48</v>
      </c>
      <c r="K43" s="21">
        <v>3600.51</v>
      </c>
      <c r="L43" s="21">
        <v>115043.38</v>
      </c>
      <c r="M43" s="21">
        <v>33722.35</v>
      </c>
      <c r="N43" s="21">
        <v>70.69</v>
      </c>
      <c r="O43" s="21">
        <v>3600.03</v>
      </c>
      <c r="P43" s="21">
        <v>106036.28</v>
      </c>
      <c r="Q43" s="21">
        <v>33502.480000000003</v>
      </c>
      <c r="R43" s="21">
        <v>68.400000000000006</v>
      </c>
      <c r="S43" s="21">
        <v>3600.09</v>
      </c>
      <c r="T43" s="3">
        <v>84225.02</v>
      </c>
      <c r="U43" s="3">
        <v>48650.37</v>
      </c>
      <c r="V43" s="3">
        <v>42.24</v>
      </c>
      <c r="W43" s="3">
        <v>3600.11</v>
      </c>
      <c r="X43" s="3">
        <v>84225.02</v>
      </c>
      <c r="Y43" s="3">
        <v>50650.720000000001</v>
      </c>
      <c r="Z43" s="3">
        <v>39.86</v>
      </c>
      <c r="AA43" s="3">
        <v>3600.07</v>
      </c>
      <c r="AB43" s="3">
        <v>84764.96</v>
      </c>
      <c r="AC43" s="3">
        <v>49991.13</v>
      </c>
      <c r="AD43" s="3">
        <v>41.02</v>
      </c>
      <c r="AE43" s="3">
        <v>3600.2</v>
      </c>
    </row>
    <row r="44" spans="1:31">
      <c r="A44" s="109"/>
      <c r="B44" s="100"/>
      <c r="C44" s="103"/>
      <c r="D44" s="21">
        <v>106971.79</v>
      </c>
      <c r="E44" s="21">
        <v>33474.94</v>
      </c>
      <c r="F44" s="21">
        <v>68.709999999999994</v>
      </c>
      <c r="G44" s="21">
        <v>3600</v>
      </c>
      <c r="H44" s="21">
        <v>131173.16</v>
      </c>
      <c r="I44" s="21">
        <v>42588.93</v>
      </c>
      <c r="J44" s="21">
        <v>67.53</v>
      </c>
      <c r="K44" s="21">
        <v>3600.71</v>
      </c>
      <c r="L44" s="21">
        <v>131883.85</v>
      </c>
      <c r="M44" s="21">
        <v>41171.53</v>
      </c>
      <c r="N44" s="21">
        <v>68.78</v>
      </c>
      <c r="O44" s="21">
        <v>3600.05</v>
      </c>
      <c r="P44" s="21">
        <v>135327.75</v>
      </c>
      <c r="Q44" s="21">
        <v>40875.47</v>
      </c>
      <c r="R44" s="21">
        <v>69.8</v>
      </c>
      <c r="S44" s="21">
        <v>3600.02</v>
      </c>
      <c r="T44" s="3">
        <v>106665.21</v>
      </c>
      <c r="U44" s="3">
        <v>65816.509999999995</v>
      </c>
      <c r="V44" s="3">
        <v>38.299999999999997</v>
      </c>
      <c r="W44" s="3">
        <v>3600.02</v>
      </c>
      <c r="X44" s="3">
        <v>106990.82</v>
      </c>
      <c r="Y44" s="3">
        <v>73292.070000000007</v>
      </c>
      <c r="Z44" s="3">
        <v>31.5</v>
      </c>
      <c r="AA44" s="3">
        <v>3600.02</v>
      </c>
      <c r="AB44" s="3">
        <v>106955.22</v>
      </c>
      <c r="AC44" s="3">
        <v>65546.45</v>
      </c>
      <c r="AD44" s="3">
        <v>38.72</v>
      </c>
      <c r="AE44" s="3">
        <v>3600.03</v>
      </c>
    </row>
    <row r="45" spans="1:31">
      <c r="A45" s="109"/>
      <c r="B45" s="100"/>
      <c r="C45" s="41"/>
      <c r="D45" s="33">
        <f>AVERAGE(D40:D44)</f>
        <v>127895.25200000001</v>
      </c>
      <c r="E45" s="33">
        <f>AVERAGE(E40:E44)</f>
        <v>37122.231999999996</v>
      </c>
      <c r="F45" s="33">
        <f>AVERAGE(F40:F44)</f>
        <v>70.272000000000006</v>
      </c>
      <c r="G45" s="33">
        <f>AVERAGE(G40:G44)</f>
        <v>3600</v>
      </c>
      <c r="H45" s="33">
        <f t="shared" ref="H45:K45" si="20">AVERAGE(H40:H44)</f>
        <v>152450.01200000002</v>
      </c>
      <c r="I45" s="33">
        <f t="shared" si="20"/>
        <v>40167.004000000001</v>
      </c>
      <c r="J45" s="33">
        <f t="shared" si="20"/>
        <v>72.242000000000004</v>
      </c>
      <c r="K45" s="33">
        <f t="shared" si="20"/>
        <v>3600.442</v>
      </c>
      <c r="L45" s="33">
        <f t="shared" ref="L45:S45" si="21">AVERAGE(L40:L44)</f>
        <v>154557.69399999999</v>
      </c>
      <c r="M45" s="33">
        <f t="shared" si="21"/>
        <v>36732.284</v>
      </c>
      <c r="N45" s="33">
        <f t="shared" si="21"/>
        <v>75.459999999999994</v>
      </c>
      <c r="O45" s="33">
        <f t="shared" si="21"/>
        <v>3600.0520000000006</v>
      </c>
      <c r="P45" s="33">
        <f t="shared" si="21"/>
        <v>148563.766</v>
      </c>
      <c r="Q45" s="33">
        <f t="shared" si="21"/>
        <v>40815.348000000005</v>
      </c>
      <c r="R45" s="33">
        <f t="shared" si="21"/>
        <v>71.871999999999986</v>
      </c>
      <c r="S45" s="33">
        <f t="shared" si="21"/>
        <v>3600.0540000000001</v>
      </c>
      <c r="T45" s="8">
        <f t="shared" ref="T45:AE45" si="22">AVERAGE(T40:T44)</f>
        <v>128081.322</v>
      </c>
      <c r="U45" s="8">
        <f t="shared" si="22"/>
        <v>68500.709999999992</v>
      </c>
      <c r="V45" s="8">
        <f t="shared" si="22"/>
        <v>45.5</v>
      </c>
      <c r="W45" s="8">
        <f t="shared" si="22"/>
        <v>3600.0559999999996</v>
      </c>
      <c r="X45" s="8">
        <f t="shared" si="22"/>
        <v>128066.594</v>
      </c>
      <c r="Y45" s="8">
        <f t="shared" si="22"/>
        <v>72301.078000000009</v>
      </c>
      <c r="Z45" s="8">
        <f t="shared" si="22"/>
        <v>42.396000000000001</v>
      </c>
      <c r="AA45" s="8">
        <f t="shared" si="22"/>
        <v>3600.058</v>
      </c>
      <c r="AB45" s="8">
        <f t="shared" si="22"/>
        <v>129196.416</v>
      </c>
      <c r="AC45" s="8">
        <f t="shared" si="22"/>
        <v>66500.483999999997</v>
      </c>
      <c r="AD45" s="8">
        <f t="shared" si="22"/>
        <v>46.998000000000005</v>
      </c>
      <c r="AE45" s="8">
        <f t="shared" si="22"/>
        <v>3600.1159999999995</v>
      </c>
    </row>
    <row r="46" spans="1:31">
      <c r="A46" s="109"/>
      <c r="B46" s="100"/>
      <c r="C46" s="104">
        <v>5</v>
      </c>
      <c r="D46" s="32">
        <v>73999.259999999995</v>
      </c>
      <c r="E46" s="32">
        <v>35870.980000000003</v>
      </c>
      <c r="F46" s="32">
        <v>51.53</v>
      </c>
      <c r="G46" s="32">
        <v>3600</v>
      </c>
      <c r="H46" s="32">
        <v>86409.51</v>
      </c>
      <c r="I46" s="32">
        <v>34998.949999999997</v>
      </c>
      <c r="J46" s="32">
        <v>59.5</v>
      </c>
      <c r="K46" s="32">
        <v>3600.07</v>
      </c>
      <c r="L46" s="32">
        <v>84449.86</v>
      </c>
      <c r="M46" s="32">
        <v>33082.04</v>
      </c>
      <c r="N46" s="32">
        <v>60.83</v>
      </c>
      <c r="O46" s="32">
        <v>3600.43</v>
      </c>
      <c r="P46" s="32">
        <v>88169.88</v>
      </c>
      <c r="Q46" s="32">
        <v>27967.64</v>
      </c>
      <c r="R46" s="32">
        <v>68.28</v>
      </c>
      <c r="S46" s="32">
        <v>3600.04</v>
      </c>
      <c r="T46" s="5">
        <v>73969.63</v>
      </c>
      <c r="U46" s="5">
        <v>49068.14</v>
      </c>
      <c r="V46" s="5">
        <v>33.659999999999997</v>
      </c>
      <c r="W46" s="5">
        <v>3600.02</v>
      </c>
      <c r="X46" s="5">
        <v>74158.36</v>
      </c>
      <c r="Y46" s="5">
        <v>50250.68</v>
      </c>
      <c r="Z46" s="5">
        <v>32.24</v>
      </c>
      <c r="AA46" s="5">
        <v>3600.01</v>
      </c>
      <c r="AB46" s="5">
        <v>74158.399999999994</v>
      </c>
      <c r="AC46" s="5">
        <v>47517.54</v>
      </c>
      <c r="AD46" s="5">
        <v>35.92</v>
      </c>
      <c r="AE46" s="5">
        <v>3600.01</v>
      </c>
    </row>
    <row r="47" spans="1:31">
      <c r="A47" s="109"/>
      <c r="B47" s="100"/>
      <c r="C47" s="102"/>
      <c r="D47" s="32">
        <v>56500.72</v>
      </c>
      <c r="E47" s="32">
        <v>28940.49</v>
      </c>
      <c r="F47" s="32">
        <v>48.78</v>
      </c>
      <c r="G47" s="32">
        <v>3600</v>
      </c>
      <c r="H47" s="32">
        <v>69145.31</v>
      </c>
      <c r="I47" s="32">
        <v>24462.61</v>
      </c>
      <c r="J47" s="32">
        <v>64.62</v>
      </c>
      <c r="K47" s="32">
        <v>3600.37</v>
      </c>
      <c r="L47" s="32">
        <v>65329.84</v>
      </c>
      <c r="M47" s="32">
        <v>25704.27</v>
      </c>
      <c r="N47" s="32">
        <v>60.65</v>
      </c>
      <c r="O47" s="32">
        <v>3600.02</v>
      </c>
      <c r="P47" s="32">
        <v>67346.67</v>
      </c>
      <c r="Q47" s="32">
        <v>25739.61</v>
      </c>
      <c r="R47" s="32">
        <v>61.78</v>
      </c>
      <c r="S47" s="32">
        <v>3600.07</v>
      </c>
      <c r="T47" s="5">
        <v>56453.69</v>
      </c>
      <c r="U47" s="5">
        <v>38419.879999999997</v>
      </c>
      <c r="V47" s="5">
        <v>31.94</v>
      </c>
      <c r="W47" s="5">
        <v>3600.09</v>
      </c>
      <c r="X47" s="5">
        <v>56771.97</v>
      </c>
      <c r="Y47" s="5">
        <v>40410.69</v>
      </c>
      <c r="Z47" s="5">
        <v>28.82</v>
      </c>
      <c r="AA47" s="5">
        <v>3600.07</v>
      </c>
      <c r="AB47" s="5">
        <v>56636.49</v>
      </c>
      <c r="AC47" s="5">
        <v>36942.6</v>
      </c>
      <c r="AD47" s="5">
        <v>34.770000000000003</v>
      </c>
      <c r="AE47" s="5">
        <v>3600.05</v>
      </c>
    </row>
    <row r="48" spans="1:31">
      <c r="A48" s="109"/>
      <c r="B48" s="100"/>
      <c r="C48" s="102"/>
      <c r="D48" s="32">
        <v>82079.58</v>
      </c>
      <c r="E48" s="32">
        <v>36931.01</v>
      </c>
      <c r="F48" s="32">
        <v>55.01</v>
      </c>
      <c r="G48" s="32">
        <v>3600</v>
      </c>
      <c r="H48" s="32">
        <v>102940.19</v>
      </c>
      <c r="I48" s="32">
        <v>40364.68</v>
      </c>
      <c r="J48" s="32">
        <v>60.79</v>
      </c>
      <c r="K48" s="32">
        <v>3600.45</v>
      </c>
      <c r="L48" s="32">
        <v>114657.83</v>
      </c>
      <c r="M48" s="32">
        <v>35992.769999999997</v>
      </c>
      <c r="N48" s="32">
        <v>68.61</v>
      </c>
      <c r="O48" s="32">
        <v>3600.34</v>
      </c>
      <c r="P48" s="32">
        <v>94908.7</v>
      </c>
      <c r="Q48" s="32">
        <v>37671.01</v>
      </c>
      <c r="R48" s="32">
        <v>60.31</v>
      </c>
      <c r="S48" s="32">
        <v>3600.01</v>
      </c>
      <c r="T48" s="5">
        <v>82079.58</v>
      </c>
      <c r="U48" s="5">
        <v>57004.75</v>
      </c>
      <c r="V48" s="5">
        <v>30.55</v>
      </c>
      <c r="W48" s="5">
        <v>3600.07</v>
      </c>
      <c r="X48" s="5">
        <v>82079.58</v>
      </c>
      <c r="Y48" s="5">
        <v>54061.16</v>
      </c>
      <c r="Z48" s="5">
        <v>34.14</v>
      </c>
      <c r="AA48" s="5">
        <v>3600.34</v>
      </c>
      <c r="AB48" s="5">
        <v>83982.43</v>
      </c>
      <c r="AC48" s="5">
        <v>53154.78</v>
      </c>
      <c r="AD48" s="5">
        <v>36.71</v>
      </c>
      <c r="AE48" s="5">
        <v>3600.4</v>
      </c>
    </row>
    <row r="49" spans="1:36">
      <c r="A49" s="109"/>
      <c r="B49" s="100"/>
      <c r="C49" s="102"/>
      <c r="D49" s="32">
        <v>58124.47</v>
      </c>
      <c r="E49" s="32">
        <v>29149.16</v>
      </c>
      <c r="F49" s="32">
        <v>49.85</v>
      </c>
      <c r="G49" s="32">
        <v>3600</v>
      </c>
      <c r="H49" s="32">
        <v>64866.09</v>
      </c>
      <c r="I49" s="32">
        <v>23606.1</v>
      </c>
      <c r="J49" s="32">
        <v>63.61</v>
      </c>
      <c r="K49" s="32">
        <v>3600.22</v>
      </c>
      <c r="L49" s="32">
        <v>63606.44</v>
      </c>
      <c r="M49" s="32">
        <v>27818.799999999999</v>
      </c>
      <c r="N49" s="32">
        <v>56.26</v>
      </c>
      <c r="O49" s="32">
        <v>3600.71</v>
      </c>
      <c r="P49" s="32">
        <v>72376.61</v>
      </c>
      <c r="Q49" s="32">
        <v>26227.54</v>
      </c>
      <c r="R49" s="32">
        <v>63.76</v>
      </c>
      <c r="S49" s="32">
        <v>3600.05</v>
      </c>
      <c r="T49" s="5">
        <v>57251.93</v>
      </c>
      <c r="U49" s="5">
        <v>39642.78</v>
      </c>
      <c r="V49" s="5">
        <v>30.76</v>
      </c>
      <c r="W49" s="5">
        <v>3600.09</v>
      </c>
      <c r="X49" s="5">
        <v>57251.91</v>
      </c>
      <c r="Y49" s="5">
        <v>39324.35</v>
      </c>
      <c r="Z49" s="5">
        <v>31.31</v>
      </c>
      <c r="AA49" s="5">
        <v>3600.02</v>
      </c>
      <c r="AB49" s="5">
        <v>57306.93</v>
      </c>
      <c r="AC49" s="5">
        <v>39495.269999999997</v>
      </c>
      <c r="AD49" s="5">
        <v>31.08</v>
      </c>
      <c r="AE49" s="5">
        <v>3600.03</v>
      </c>
    </row>
    <row r="50" spans="1:36">
      <c r="A50" s="109"/>
      <c r="B50" s="100"/>
      <c r="C50" s="103"/>
      <c r="D50" s="32">
        <v>42095.75</v>
      </c>
      <c r="E50" s="32">
        <v>24074.01</v>
      </c>
      <c r="F50" s="32">
        <v>42.81</v>
      </c>
      <c r="G50" s="32">
        <v>3600</v>
      </c>
      <c r="H50" s="32">
        <v>51506.86</v>
      </c>
      <c r="I50" s="32">
        <v>20307.13</v>
      </c>
      <c r="J50" s="32">
        <v>60.57</v>
      </c>
      <c r="K50" s="32">
        <v>3600.4</v>
      </c>
      <c r="L50" s="32">
        <v>47307.74</v>
      </c>
      <c r="M50" s="32">
        <v>23799.34</v>
      </c>
      <c r="N50" s="32">
        <v>49.69</v>
      </c>
      <c r="O50" s="32">
        <v>3600.01</v>
      </c>
      <c r="P50" s="32">
        <v>49332.86</v>
      </c>
      <c r="Q50" s="32">
        <v>24803.77</v>
      </c>
      <c r="R50" s="32">
        <v>49.71</v>
      </c>
      <c r="S50" s="32">
        <v>3600.02</v>
      </c>
      <c r="T50" s="36">
        <v>42095.75</v>
      </c>
      <c r="U50" s="36">
        <v>33093.5</v>
      </c>
      <c r="V50" s="36">
        <v>21.39</v>
      </c>
      <c r="W50" s="36">
        <v>3600.03</v>
      </c>
      <c r="X50" s="36">
        <v>42095.75</v>
      </c>
      <c r="Y50" s="36">
        <v>32063.22</v>
      </c>
      <c r="Z50" s="36">
        <v>23.83</v>
      </c>
      <c r="AA50" s="36">
        <v>3600.04</v>
      </c>
      <c r="AB50" s="36">
        <v>42095.75</v>
      </c>
      <c r="AC50" s="36">
        <v>32160.1</v>
      </c>
      <c r="AD50" s="36">
        <v>23.6</v>
      </c>
      <c r="AE50" s="36">
        <v>3600.04</v>
      </c>
    </row>
    <row r="51" spans="1:36">
      <c r="A51" s="109"/>
      <c r="B51" s="101"/>
      <c r="C51" s="41"/>
      <c r="D51" s="38">
        <f t="shared" ref="D51:K51" si="23">AVERAGE(D46:D50)</f>
        <v>62559.956000000006</v>
      </c>
      <c r="E51" s="38">
        <f t="shared" si="23"/>
        <v>30993.130000000005</v>
      </c>
      <c r="F51" s="38">
        <f t="shared" si="23"/>
        <v>49.595999999999997</v>
      </c>
      <c r="G51" s="38">
        <f t="shared" si="23"/>
        <v>3600</v>
      </c>
      <c r="H51" s="38">
        <f t="shared" si="23"/>
        <v>74973.59199999999</v>
      </c>
      <c r="I51" s="38">
        <f t="shared" si="23"/>
        <v>28747.894</v>
      </c>
      <c r="J51" s="38">
        <f t="shared" si="23"/>
        <v>61.817999999999998</v>
      </c>
      <c r="K51" s="38">
        <f t="shared" si="23"/>
        <v>3600.3019999999997</v>
      </c>
      <c r="L51" s="38">
        <f t="shared" ref="L51:AE51" si="24">AVERAGE(L46:L50)</f>
        <v>75070.342000000004</v>
      </c>
      <c r="M51" s="38">
        <f t="shared" si="24"/>
        <v>29279.444</v>
      </c>
      <c r="N51" s="38">
        <f t="shared" si="24"/>
        <v>59.207999999999991</v>
      </c>
      <c r="O51" s="38">
        <f t="shared" si="24"/>
        <v>3600.3020000000006</v>
      </c>
      <c r="P51" s="38">
        <f t="shared" si="24"/>
        <v>74426.943999999989</v>
      </c>
      <c r="Q51" s="38">
        <f t="shared" si="24"/>
        <v>28481.914000000001</v>
      </c>
      <c r="R51" s="38">
        <f t="shared" si="24"/>
        <v>60.767999999999994</v>
      </c>
      <c r="S51" s="38">
        <f t="shared" si="24"/>
        <v>3600.0380000000005</v>
      </c>
      <c r="T51" s="37">
        <f t="shared" si="24"/>
        <v>62370.116000000002</v>
      </c>
      <c r="U51" s="37">
        <f t="shared" si="24"/>
        <v>43445.81</v>
      </c>
      <c r="V51" s="37">
        <f t="shared" si="24"/>
        <v>29.660000000000004</v>
      </c>
      <c r="W51" s="37">
        <f t="shared" si="24"/>
        <v>3600.06</v>
      </c>
      <c r="X51" s="37">
        <f t="shared" si="24"/>
        <v>62471.514000000003</v>
      </c>
      <c r="Y51" s="37">
        <f t="shared" si="24"/>
        <v>43222.020000000004</v>
      </c>
      <c r="Z51" s="37">
        <f t="shared" si="24"/>
        <v>30.068000000000001</v>
      </c>
      <c r="AA51" s="37">
        <f t="shared" si="24"/>
        <v>3600.096</v>
      </c>
      <c r="AB51" s="37">
        <f t="shared" si="24"/>
        <v>62836</v>
      </c>
      <c r="AC51" s="37">
        <f t="shared" si="24"/>
        <v>41854.057999999997</v>
      </c>
      <c r="AD51" s="37">
        <f t="shared" si="24"/>
        <v>32.416000000000004</v>
      </c>
      <c r="AE51" s="37">
        <f t="shared" si="24"/>
        <v>3600.1060000000007</v>
      </c>
    </row>
    <row r="52" spans="1:36" s="47" customFormat="1">
      <c r="A52" s="55"/>
      <c r="B52" s="55"/>
      <c r="C52" s="56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H52" s="59"/>
      <c r="AI52" s="59"/>
      <c r="AJ52" s="59"/>
    </row>
    <row r="53" spans="1:36">
      <c r="A53" s="2"/>
      <c r="B53" s="2"/>
      <c r="C53" s="43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6" s="48" customFormat="1">
      <c r="A54" s="50"/>
      <c r="B54" s="50"/>
      <c r="C54" s="5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H54" s="54"/>
      <c r="AI54" s="54"/>
      <c r="AJ54" s="54"/>
    </row>
    <row r="55" spans="1:36">
      <c r="A55" s="105" t="s">
        <v>9</v>
      </c>
      <c r="B55" s="105">
        <v>5</v>
      </c>
      <c r="C55" s="104">
        <v>2</v>
      </c>
      <c r="D55" s="39">
        <v>15924.86</v>
      </c>
      <c r="E55" s="39">
        <v>15924.86</v>
      </c>
      <c r="F55" s="39">
        <v>0</v>
      </c>
      <c r="G55" s="39">
        <v>0.04</v>
      </c>
      <c r="H55" s="39">
        <v>15924.86</v>
      </c>
      <c r="I55" s="39">
        <v>15924.86</v>
      </c>
      <c r="J55" s="39">
        <v>0</v>
      </c>
      <c r="K55" s="39">
        <v>0.11</v>
      </c>
      <c r="L55" s="39">
        <v>15924.86</v>
      </c>
      <c r="M55" s="39">
        <v>15924.86</v>
      </c>
      <c r="N55" s="39">
        <v>0</v>
      </c>
      <c r="O55" s="39">
        <v>0.13</v>
      </c>
      <c r="P55" s="39">
        <v>15924.86</v>
      </c>
      <c r="Q55" s="39">
        <v>15924.86</v>
      </c>
      <c r="R55" s="39">
        <v>0</v>
      </c>
      <c r="S55" s="39">
        <v>0.15</v>
      </c>
      <c r="T55" s="34">
        <v>15924.86</v>
      </c>
      <c r="U55" s="34">
        <v>15924.86</v>
      </c>
      <c r="V55" s="35">
        <v>0</v>
      </c>
      <c r="W55" s="35">
        <v>0.02</v>
      </c>
      <c r="X55" s="34">
        <v>15924.86</v>
      </c>
      <c r="Y55" s="34">
        <v>15924.86</v>
      </c>
      <c r="Z55" s="35">
        <v>0</v>
      </c>
      <c r="AA55" s="35">
        <v>0.04</v>
      </c>
      <c r="AB55" s="34">
        <v>15924.86</v>
      </c>
      <c r="AC55" s="34">
        <v>15924.86</v>
      </c>
      <c r="AD55" s="35">
        <v>0</v>
      </c>
      <c r="AE55" s="35">
        <v>0.05</v>
      </c>
    </row>
    <row r="56" spans="1:36">
      <c r="A56" s="100"/>
      <c r="B56" s="100"/>
      <c r="C56" s="102"/>
      <c r="D56" s="21">
        <v>8101.36</v>
      </c>
      <c r="E56" s="21">
        <v>8101.36</v>
      </c>
      <c r="F56" s="21">
        <v>0</v>
      </c>
      <c r="G56" s="21">
        <v>0.04</v>
      </c>
      <c r="H56" s="21">
        <v>8101.36</v>
      </c>
      <c r="I56" s="21">
        <v>8101.36</v>
      </c>
      <c r="J56" s="21">
        <v>0</v>
      </c>
      <c r="K56" s="21">
        <v>0.08</v>
      </c>
      <c r="L56" s="21">
        <v>8101.36</v>
      </c>
      <c r="M56" s="21">
        <v>8101.36</v>
      </c>
      <c r="N56" s="21">
        <v>0</v>
      </c>
      <c r="O56" s="21">
        <v>0.1</v>
      </c>
      <c r="P56" s="21">
        <v>8101.36</v>
      </c>
      <c r="Q56" s="21">
        <v>8101.36</v>
      </c>
      <c r="R56" s="21">
        <v>0</v>
      </c>
      <c r="S56" s="21">
        <v>0.1</v>
      </c>
      <c r="T56" s="1">
        <v>8101.36</v>
      </c>
      <c r="U56" s="1">
        <v>8101.36</v>
      </c>
      <c r="V56" s="3">
        <v>0</v>
      </c>
      <c r="W56" s="3">
        <v>0.04</v>
      </c>
      <c r="X56" s="1">
        <v>8101.36</v>
      </c>
      <c r="Y56" s="1">
        <v>8101.36</v>
      </c>
      <c r="Z56" s="3">
        <v>0</v>
      </c>
      <c r="AA56" s="3">
        <v>0.02</v>
      </c>
      <c r="AB56" s="1">
        <v>8101.36</v>
      </c>
      <c r="AC56" s="1">
        <v>8101.36</v>
      </c>
      <c r="AD56" s="3">
        <v>0</v>
      </c>
      <c r="AE56" s="3">
        <v>0.02</v>
      </c>
    </row>
    <row r="57" spans="1:36">
      <c r="A57" s="100"/>
      <c r="B57" s="100"/>
      <c r="C57" s="102"/>
      <c r="D57" s="21">
        <v>10371.02</v>
      </c>
      <c r="E57" s="21">
        <v>10371.02</v>
      </c>
      <c r="F57" s="21">
        <v>0</v>
      </c>
      <c r="G57" s="21">
        <v>0.03</v>
      </c>
      <c r="H57" s="21">
        <v>10371.02</v>
      </c>
      <c r="I57" s="21">
        <v>10371.02</v>
      </c>
      <c r="J57" s="21">
        <v>0</v>
      </c>
      <c r="K57" s="21">
        <v>0.1</v>
      </c>
      <c r="L57" s="21">
        <v>10371.02</v>
      </c>
      <c r="M57" s="21">
        <v>10371.02</v>
      </c>
      <c r="N57" s="21">
        <v>0</v>
      </c>
      <c r="O57" s="21">
        <v>0.09</v>
      </c>
      <c r="P57" s="21">
        <v>10371.02</v>
      </c>
      <c r="Q57" s="21">
        <v>10371.02</v>
      </c>
      <c r="R57" s="21">
        <v>0</v>
      </c>
      <c r="S57" s="21">
        <v>0.08</v>
      </c>
      <c r="T57" s="1">
        <v>10371.02</v>
      </c>
      <c r="U57" s="1">
        <v>10371.02</v>
      </c>
      <c r="V57" s="3">
        <v>0</v>
      </c>
      <c r="W57" s="3">
        <v>0.01</v>
      </c>
      <c r="X57" s="1">
        <v>10371.02</v>
      </c>
      <c r="Y57" s="1">
        <v>10371.02</v>
      </c>
      <c r="Z57" s="3">
        <v>0</v>
      </c>
      <c r="AA57" s="3">
        <v>0.03</v>
      </c>
      <c r="AB57" s="1">
        <v>10371.02</v>
      </c>
      <c r="AC57" s="1">
        <v>10371.02</v>
      </c>
      <c r="AD57" s="3">
        <v>0</v>
      </c>
      <c r="AE57" s="3">
        <v>0.02</v>
      </c>
    </row>
    <row r="58" spans="1:36">
      <c r="A58" s="100"/>
      <c r="B58" s="100"/>
      <c r="C58" s="102"/>
      <c r="D58" s="21">
        <v>23265.93</v>
      </c>
      <c r="E58" s="21">
        <v>23265.93</v>
      </c>
      <c r="F58" s="21">
        <v>0</v>
      </c>
      <c r="G58" s="21">
        <v>0.03</v>
      </c>
      <c r="H58" s="21">
        <v>23265.93</v>
      </c>
      <c r="I58" s="21">
        <v>23265.93</v>
      </c>
      <c r="J58" s="21">
        <v>0</v>
      </c>
      <c r="K58" s="21">
        <v>0.08</v>
      </c>
      <c r="L58" s="21">
        <v>23265.93</v>
      </c>
      <c r="M58" s="21">
        <v>23265.93</v>
      </c>
      <c r="N58" s="21">
        <v>0</v>
      </c>
      <c r="O58" s="21">
        <v>0.09</v>
      </c>
      <c r="P58" s="21">
        <v>23265.93</v>
      </c>
      <c r="Q58" s="21">
        <v>23265.93</v>
      </c>
      <c r="R58" s="21">
        <v>0</v>
      </c>
      <c r="S58" s="21">
        <v>0.12</v>
      </c>
      <c r="T58" s="1">
        <v>23265.93</v>
      </c>
      <c r="U58" s="1">
        <v>23265.93</v>
      </c>
      <c r="V58" s="3">
        <v>0</v>
      </c>
      <c r="W58" s="3">
        <v>0.02</v>
      </c>
      <c r="X58" s="1">
        <v>23265.93</v>
      </c>
      <c r="Y58" s="1">
        <v>23265.93</v>
      </c>
      <c r="Z58" s="3">
        <v>0</v>
      </c>
      <c r="AA58" s="3">
        <v>0.02</v>
      </c>
      <c r="AB58" s="1">
        <v>23265.93</v>
      </c>
      <c r="AC58" s="1">
        <v>23265.93</v>
      </c>
      <c r="AD58" s="3">
        <v>0</v>
      </c>
      <c r="AE58" s="3">
        <v>0.05</v>
      </c>
    </row>
    <row r="59" spans="1:36">
      <c r="A59" s="100"/>
      <c r="B59" s="100"/>
      <c r="C59" s="103"/>
      <c r="D59" s="21">
        <v>9931.5499999999993</v>
      </c>
      <c r="E59" s="21">
        <v>9931.5499999999993</v>
      </c>
      <c r="F59" s="21">
        <v>0</v>
      </c>
      <c r="G59" s="21">
        <v>0.03</v>
      </c>
      <c r="H59" s="21">
        <v>9931.5499999999993</v>
      </c>
      <c r="I59" s="21">
        <v>9931.5499999999993</v>
      </c>
      <c r="J59" s="21">
        <v>0</v>
      </c>
      <c r="K59" s="21">
        <v>0.06</v>
      </c>
      <c r="L59" s="21">
        <v>9931.5499999999993</v>
      </c>
      <c r="M59" s="21">
        <v>9931.5499999999993</v>
      </c>
      <c r="N59" s="21">
        <v>0</v>
      </c>
      <c r="O59" s="21">
        <v>0.11</v>
      </c>
      <c r="P59" s="21">
        <v>9931.5499999999993</v>
      </c>
      <c r="Q59" s="21">
        <v>9931.5499999999993</v>
      </c>
      <c r="R59" s="21">
        <v>0</v>
      </c>
      <c r="S59" s="21">
        <v>0.08</v>
      </c>
      <c r="T59" s="1">
        <v>9931.5499999999993</v>
      </c>
      <c r="U59" s="1">
        <v>9931.5499999999993</v>
      </c>
      <c r="V59" s="3">
        <v>0</v>
      </c>
      <c r="W59" s="3">
        <v>0.01</v>
      </c>
      <c r="X59" s="1">
        <v>9931.5499999999993</v>
      </c>
      <c r="Y59" s="1">
        <v>9931.5499999999993</v>
      </c>
      <c r="Z59" s="3">
        <v>0</v>
      </c>
      <c r="AA59" s="3">
        <v>0.02</v>
      </c>
      <c r="AB59" s="1">
        <v>9931.5499999999993</v>
      </c>
      <c r="AC59" s="1">
        <v>9931.5499999999993</v>
      </c>
      <c r="AD59" s="3">
        <v>0</v>
      </c>
      <c r="AE59" s="3">
        <v>0.03</v>
      </c>
    </row>
    <row r="60" spans="1:36">
      <c r="A60" s="100"/>
      <c r="B60" s="100"/>
      <c r="C60" s="41"/>
      <c r="D60" s="33">
        <f>AVERAGE(D55:D59)</f>
        <v>13518.944</v>
      </c>
      <c r="E60" s="33">
        <f>AVERAGE(E55:E59)</f>
        <v>13518.944</v>
      </c>
      <c r="F60" s="33">
        <f>AVERAGE(F55:F59)</f>
        <v>0</v>
      </c>
      <c r="G60" s="33">
        <f>AVERAGE(G55:G59)</f>
        <v>3.4000000000000002E-2</v>
      </c>
      <c r="H60" s="33">
        <f t="shared" ref="H60:K60" si="25">AVERAGE(H55:H59)</f>
        <v>13518.944</v>
      </c>
      <c r="I60" s="33">
        <f t="shared" si="25"/>
        <v>13518.944</v>
      </c>
      <c r="J60" s="33">
        <f t="shared" si="25"/>
        <v>0</v>
      </c>
      <c r="K60" s="33">
        <f t="shared" si="25"/>
        <v>8.6000000000000007E-2</v>
      </c>
      <c r="L60" s="33">
        <f t="shared" ref="L60:S60" si="26">AVERAGE(L55:L59)</f>
        <v>13518.944</v>
      </c>
      <c r="M60" s="33">
        <f t="shared" si="26"/>
        <v>13518.944</v>
      </c>
      <c r="N60" s="33">
        <f t="shared" si="26"/>
        <v>0</v>
      </c>
      <c r="O60" s="33">
        <f t="shared" si="26"/>
        <v>0.10400000000000001</v>
      </c>
      <c r="P60" s="33">
        <f t="shared" si="26"/>
        <v>13518.944</v>
      </c>
      <c r="Q60" s="33">
        <f t="shared" si="26"/>
        <v>13518.944</v>
      </c>
      <c r="R60" s="33">
        <f t="shared" si="26"/>
        <v>0</v>
      </c>
      <c r="S60" s="33">
        <f t="shared" si="26"/>
        <v>0.10600000000000001</v>
      </c>
      <c r="T60" s="8">
        <f t="shared" ref="T60:W60" si="27">AVERAGE(T55:T59)</f>
        <v>13518.944</v>
      </c>
      <c r="U60" s="8">
        <f t="shared" si="27"/>
        <v>13518.944</v>
      </c>
      <c r="V60" s="8">
        <f t="shared" si="27"/>
        <v>0</v>
      </c>
      <c r="W60" s="8">
        <f t="shared" si="27"/>
        <v>1.9999999999999997E-2</v>
      </c>
      <c r="X60" s="33">
        <f t="shared" ref="X60:AE60" si="28">AVERAGE(X55:X59)</f>
        <v>13518.944</v>
      </c>
      <c r="Y60" s="33">
        <f t="shared" si="28"/>
        <v>13518.944</v>
      </c>
      <c r="Z60" s="33">
        <f t="shared" si="28"/>
        <v>0</v>
      </c>
      <c r="AA60" s="33">
        <f t="shared" si="28"/>
        <v>2.6000000000000002E-2</v>
      </c>
      <c r="AB60" s="33">
        <f t="shared" si="28"/>
        <v>13518.944</v>
      </c>
      <c r="AC60" s="33">
        <f t="shared" si="28"/>
        <v>13518.944</v>
      </c>
      <c r="AD60" s="33">
        <f t="shared" si="28"/>
        <v>0</v>
      </c>
      <c r="AE60" s="33">
        <f t="shared" si="28"/>
        <v>3.4000000000000002E-2</v>
      </c>
    </row>
    <row r="61" spans="1:36">
      <c r="A61" s="100"/>
      <c r="B61" s="100"/>
      <c r="C61" s="104">
        <v>3</v>
      </c>
      <c r="D61" s="32">
        <v>3417.42</v>
      </c>
      <c r="E61" s="32">
        <v>3417.42</v>
      </c>
      <c r="F61" s="32">
        <v>0</v>
      </c>
      <c r="G61" s="32">
        <v>0.05</v>
      </c>
      <c r="H61" s="32">
        <v>3417.42</v>
      </c>
      <c r="I61" s="32">
        <v>3417.42</v>
      </c>
      <c r="J61" s="32">
        <v>0</v>
      </c>
      <c r="K61" s="49">
        <v>0.2</v>
      </c>
      <c r="L61" s="32">
        <v>3417.42</v>
      </c>
      <c r="M61" s="32">
        <v>3417.42</v>
      </c>
      <c r="N61" s="32">
        <v>0</v>
      </c>
      <c r="O61" s="49">
        <v>0.16</v>
      </c>
      <c r="P61" s="32">
        <v>3417.42</v>
      </c>
      <c r="Q61" s="32">
        <v>3417.42</v>
      </c>
      <c r="R61" s="32">
        <v>0</v>
      </c>
      <c r="S61" s="49">
        <v>0.19</v>
      </c>
      <c r="T61" s="4">
        <v>3417.42</v>
      </c>
      <c r="U61" s="4">
        <v>3417.42</v>
      </c>
      <c r="V61" s="5">
        <v>0</v>
      </c>
      <c r="W61" s="5">
        <v>0.08</v>
      </c>
      <c r="X61" s="4">
        <v>3417.42</v>
      </c>
      <c r="Y61" s="4">
        <v>3417.42</v>
      </c>
      <c r="Z61" s="5">
        <v>0</v>
      </c>
      <c r="AA61" s="5">
        <v>0.04</v>
      </c>
      <c r="AB61" s="4">
        <v>3417.42</v>
      </c>
      <c r="AC61" s="4">
        <v>3417.42</v>
      </c>
      <c r="AD61" s="5">
        <v>0</v>
      </c>
      <c r="AE61" s="5">
        <v>0.04</v>
      </c>
    </row>
    <row r="62" spans="1:36">
      <c r="A62" s="100"/>
      <c r="B62" s="100"/>
      <c r="C62" s="102"/>
      <c r="D62" s="32">
        <v>8109.63</v>
      </c>
      <c r="E62" s="32">
        <v>8109.63</v>
      </c>
      <c r="F62" s="32">
        <v>0</v>
      </c>
      <c r="G62" s="32">
        <v>0.02</v>
      </c>
      <c r="H62" s="32">
        <v>8109.63</v>
      </c>
      <c r="I62" s="32">
        <v>8109.63</v>
      </c>
      <c r="J62" s="32">
        <v>0</v>
      </c>
      <c r="K62" s="32">
        <v>0.14000000000000001</v>
      </c>
      <c r="L62" s="32">
        <v>8109.63</v>
      </c>
      <c r="M62" s="32">
        <v>8109.63</v>
      </c>
      <c r="N62" s="32">
        <v>0</v>
      </c>
      <c r="O62" s="32">
        <v>0.14000000000000001</v>
      </c>
      <c r="P62" s="32">
        <v>8109.63</v>
      </c>
      <c r="Q62" s="32">
        <v>8109.63</v>
      </c>
      <c r="R62" s="32">
        <v>0</v>
      </c>
      <c r="S62" s="32">
        <v>0.14000000000000001</v>
      </c>
      <c r="T62" s="4">
        <v>8109.63</v>
      </c>
      <c r="U62" s="4">
        <v>8109.63</v>
      </c>
      <c r="V62" s="5">
        <v>0</v>
      </c>
      <c r="W62" s="5">
        <v>0.01</v>
      </c>
      <c r="X62" s="4">
        <v>8109.63</v>
      </c>
      <c r="Y62" s="4">
        <v>8109.63</v>
      </c>
      <c r="Z62" s="5">
        <v>0</v>
      </c>
      <c r="AA62" s="5">
        <v>0</v>
      </c>
      <c r="AB62" s="4">
        <v>8109.63</v>
      </c>
      <c r="AC62" s="4">
        <v>8109.63</v>
      </c>
      <c r="AD62" s="5">
        <v>0</v>
      </c>
      <c r="AE62" s="5">
        <v>0.01</v>
      </c>
    </row>
    <row r="63" spans="1:36">
      <c r="A63" s="100"/>
      <c r="B63" s="100"/>
      <c r="C63" s="102"/>
      <c r="D63" s="32">
        <v>13635.68</v>
      </c>
      <c r="E63" s="32">
        <v>13635.68</v>
      </c>
      <c r="F63" s="32">
        <v>0</v>
      </c>
      <c r="G63" s="32">
        <v>0.02</v>
      </c>
      <c r="H63" s="32">
        <v>13635.68</v>
      </c>
      <c r="I63" s="32">
        <v>13635.68</v>
      </c>
      <c r="J63" s="32">
        <v>0</v>
      </c>
      <c r="K63" s="32">
        <v>0.13</v>
      </c>
      <c r="L63" s="32">
        <v>13635.68</v>
      </c>
      <c r="M63" s="32">
        <v>13635.68</v>
      </c>
      <c r="N63" s="32">
        <v>0</v>
      </c>
      <c r="O63" s="32">
        <v>0.12</v>
      </c>
      <c r="P63" s="32">
        <v>13635.68</v>
      </c>
      <c r="Q63" s="32">
        <v>13635.68</v>
      </c>
      <c r="R63" s="32">
        <v>0</v>
      </c>
      <c r="S63" s="32">
        <v>0.19</v>
      </c>
      <c r="T63" s="4">
        <v>13635.68</v>
      </c>
      <c r="U63" s="4">
        <v>13635.68</v>
      </c>
      <c r="V63" s="5">
        <v>0</v>
      </c>
      <c r="W63" s="5">
        <v>0.02</v>
      </c>
      <c r="X63" s="4">
        <v>13635.68</v>
      </c>
      <c r="Y63" s="4">
        <v>13635.68</v>
      </c>
      <c r="Z63" s="5">
        <v>0</v>
      </c>
      <c r="AA63" s="5">
        <v>0.02</v>
      </c>
      <c r="AB63" s="4">
        <v>13635.68</v>
      </c>
      <c r="AC63" s="4">
        <v>13635.68</v>
      </c>
      <c r="AD63" s="5">
        <v>0</v>
      </c>
      <c r="AE63" s="5">
        <v>0.02</v>
      </c>
    </row>
    <row r="64" spans="1:36">
      <c r="A64" s="100"/>
      <c r="B64" s="100"/>
      <c r="C64" s="102"/>
      <c r="D64" s="32">
        <v>5142.8599999999997</v>
      </c>
      <c r="E64" s="32">
        <v>5142.8599999999997</v>
      </c>
      <c r="F64" s="32">
        <v>0</v>
      </c>
      <c r="G64" s="32">
        <v>0.02</v>
      </c>
      <c r="H64" s="32">
        <v>5142.8599999999997</v>
      </c>
      <c r="I64" s="32">
        <v>5142.8599999999997</v>
      </c>
      <c r="J64" s="32">
        <v>0</v>
      </c>
      <c r="K64" s="32">
        <v>0.14000000000000001</v>
      </c>
      <c r="L64" s="32">
        <v>5142.8599999999997</v>
      </c>
      <c r="M64" s="32">
        <v>5142.8599999999997</v>
      </c>
      <c r="N64" s="32">
        <v>0</v>
      </c>
      <c r="O64" s="32">
        <v>0.13</v>
      </c>
      <c r="P64" s="32">
        <v>5142.8599999999997</v>
      </c>
      <c r="Q64" s="32">
        <v>5142.8599999999997</v>
      </c>
      <c r="R64" s="32">
        <v>0</v>
      </c>
      <c r="S64" s="32">
        <v>0.12</v>
      </c>
      <c r="T64" s="4">
        <v>5142.8599999999997</v>
      </c>
      <c r="U64" s="4">
        <v>5142.8599999999997</v>
      </c>
      <c r="V64" s="5">
        <v>0</v>
      </c>
      <c r="W64" s="5">
        <v>0.02</v>
      </c>
      <c r="X64" s="4">
        <v>5142.8599999999997</v>
      </c>
      <c r="Y64" s="4">
        <v>5142.8599999999997</v>
      </c>
      <c r="Z64" s="5">
        <v>0</v>
      </c>
      <c r="AA64" s="5">
        <v>0.01</v>
      </c>
      <c r="AB64" s="4">
        <v>5142.8599999999997</v>
      </c>
      <c r="AC64" s="4">
        <v>5142.8599999999997</v>
      </c>
      <c r="AD64" s="5">
        <v>0</v>
      </c>
      <c r="AE64" s="5">
        <v>0.03</v>
      </c>
    </row>
    <row r="65" spans="1:31">
      <c r="A65" s="100"/>
      <c r="B65" s="100"/>
      <c r="C65" s="103"/>
      <c r="D65" s="32">
        <v>4303.66</v>
      </c>
      <c r="E65" s="32">
        <v>4303.66</v>
      </c>
      <c r="F65" s="32">
        <v>0</v>
      </c>
      <c r="G65" s="32">
        <v>0.02</v>
      </c>
      <c r="H65" s="32">
        <v>4303.66</v>
      </c>
      <c r="I65" s="32">
        <v>4303.66</v>
      </c>
      <c r="J65" s="32">
        <v>0</v>
      </c>
      <c r="K65" s="32">
        <v>0.18</v>
      </c>
      <c r="L65" s="32">
        <v>4303.66</v>
      </c>
      <c r="M65" s="32">
        <v>4303.66</v>
      </c>
      <c r="N65" s="32">
        <v>0</v>
      </c>
      <c r="O65" s="32">
        <v>0.14000000000000001</v>
      </c>
      <c r="P65" s="32">
        <v>4303.66</v>
      </c>
      <c r="Q65" s="32">
        <v>4303.66</v>
      </c>
      <c r="R65" s="32">
        <v>0</v>
      </c>
      <c r="S65" s="32">
        <v>0.33</v>
      </c>
      <c r="T65" s="4">
        <v>4303.66</v>
      </c>
      <c r="U65" s="4">
        <v>4303.66</v>
      </c>
      <c r="V65" s="5">
        <v>0</v>
      </c>
      <c r="W65" s="5">
        <v>0.03</v>
      </c>
      <c r="X65" s="4">
        <v>4303.66</v>
      </c>
      <c r="Y65" s="4">
        <v>4303.66</v>
      </c>
      <c r="Z65" s="5">
        <v>0</v>
      </c>
      <c r="AA65" s="5">
        <v>0.02</v>
      </c>
      <c r="AB65" s="4">
        <v>4303.66</v>
      </c>
      <c r="AC65" s="4">
        <v>4303.66</v>
      </c>
      <c r="AD65" s="5">
        <v>0</v>
      </c>
      <c r="AE65" s="5">
        <v>0.03</v>
      </c>
    </row>
    <row r="66" spans="1:31">
      <c r="A66" s="100"/>
      <c r="B66" s="101"/>
      <c r="C66" s="41"/>
      <c r="D66" s="33">
        <f>AVERAGE(D61:D65)</f>
        <v>6921.85</v>
      </c>
      <c r="E66" s="33">
        <f>AVERAGE(E61:E65)</f>
        <v>6921.85</v>
      </c>
      <c r="F66" s="33">
        <f>AVERAGE(F61:F65)</f>
        <v>0</v>
      </c>
      <c r="G66" s="33">
        <f>AVERAGE(G61:G65)</f>
        <v>2.6000000000000002E-2</v>
      </c>
      <c r="H66" s="33">
        <f t="shared" ref="H66:K66" si="29">AVERAGE(H61:H65)</f>
        <v>6921.85</v>
      </c>
      <c r="I66" s="33">
        <f t="shared" si="29"/>
        <v>6921.85</v>
      </c>
      <c r="J66" s="33">
        <f t="shared" si="29"/>
        <v>0</v>
      </c>
      <c r="K66" s="33">
        <f t="shared" si="29"/>
        <v>0.158</v>
      </c>
      <c r="L66" s="33">
        <f t="shared" ref="L66:S66" si="30">AVERAGE(L61:L65)</f>
        <v>6921.85</v>
      </c>
      <c r="M66" s="33">
        <f t="shared" si="30"/>
        <v>6921.85</v>
      </c>
      <c r="N66" s="33">
        <f t="shared" si="30"/>
        <v>0</v>
      </c>
      <c r="O66" s="33">
        <f t="shared" si="30"/>
        <v>0.13800000000000001</v>
      </c>
      <c r="P66" s="33">
        <f t="shared" si="30"/>
        <v>6921.85</v>
      </c>
      <c r="Q66" s="33">
        <f t="shared" si="30"/>
        <v>6921.85</v>
      </c>
      <c r="R66" s="33">
        <f t="shared" si="30"/>
        <v>0</v>
      </c>
      <c r="S66" s="33">
        <f t="shared" si="30"/>
        <v>0.19400000000000001</v>
      </c>
      <c r="T66" s="8">
        <f t="shared" ref="T66:W66" si="31">AVERAGE(T61:T65)</f>
        <v>6921.85</v>
      </c>
      <c r="U66" s="8">
        <f t="shared" si="31"/>
        <v>6921.85</v>
      </c>
      <c r="V66" s="8">
        <f t="shared" si="31"/>
        <v>0</v>
      </c>
      <c r="W66" s="8">
        <f t="shared" si="31"/>
        <v>3.2000000000000001E-2</v>
      </c>
      <c r="X66" s="33">
        <f t="shared" ref="X66:AE66" si="32">AVERAGE(X61:X65)</f>
        <v>6921.85</v>
      </c>
      <c r="Y66" s="33">
        <f t="shared" si="32"/>
        <v>6921.85</v>
      </c>
      <c r="Z66" s="33">
        <f t="shared" si="32"/>
        <v>0</v>
      </c>
      <c r="AA66" s="33">
        <f t="shared" si="32"/>
        <v>1.7999999999999999E-2</v>
      </c>
      <c r="AB66" s="33">
        <f t="shared" si="32"/>
        <v>6921.85</v>
      </c>
      <c r="AC66" s="33">
        <f t="shared" si="32"/>
        <v>6921.85</v>
      </c>
      <c r="AD66" s="33">
        <f t="shared" si="32"/>
        <v>0</v>
      </c>
      <c r="AE66" s="33">
        <f t="shared" si="32"/>
        <v>2.6000000000000002E-2</v>
      </c>
    </row>
    <row r="67" spans="1:31">
      <c r="A67" s="100"/>
      <c r="B67" s="105">
        <v>10</v>
      </c>
      <c r="C67" s="104">
        <v>3</v>
      </c>
      <c r="D67" s="21">
        <v>32536.11</v>
      </c>
      <c r="E67" s="21">
        <v>32536.11</v>
      </c>
      <c r="F67" s="21">
        <v>0</v>
      </c>
      <c r="G67" s="21">
        <v>77.61</v>
      </c>
      <c r="H67" s="21">
        <v>32536.11</v>
      </c>
      <c r="I67" s="21">
        <v>32536.11</v>
      </c>
      <c r="J67" s="21">
        <v>0</v>
      </c>
      <c r="K67" s="21">
        <v>23.62</v>
      </c>
      <c r="L67" s="21">
        <v>32536.11</v>
      </c>
      <c r="M67" s="21">
        <v>32536.11</v>
      </c>
      <c r="N67" s="21">
        <v>0</v>
      </c>
      <c r="O67" s="21">
        <v>22.94</v>
      </c>
      <c r="P67" s="21">
        <v>32536.11</v>
      </c>
      <c r="Q67" s="21">
        <v>32536.11</v>
      </c>
      <c r="R67" s="21">
        <v>0</v>
      </c>
      <c r="S67" s="21">
        <v>26.79</v>
      </c>
      <c r="T67" s="1">
        <v>32536.11</v>
      </c>
      <c r="U67" s="1">
        <v>32536.11</v>
      </c>
      <c r="V67" s="3">
        <v>0</v>
      </c>
      <c r="W67" s="3">
        <v>0.41</v>
      </c>
      <c r="X67" s="1">
        <v>32536.11</v>
      </c>
      <c r="Y67" s="1">
        <v>32536.11</v>
      </c>
      <c r="Z67" s="3">
        <v>0</v>
      </c>
      <c r="AA67" s="3">
        <v>0.43</v>
      </c>
      <c r="AB67" s="1">
        <v>32536.11</v>
      </c>
      <c r="AC67" s="1">
        <v>32536.11</v>
      </c>
      <c r="AD67" s="3">
        <v>0</v>
      </c>
      <c r="AE67" s="3">
        <v>0.55000000000000004</v>
      </c>
    </row>
    <row r="68" spans="1:31">
      <c r="A68" s="100"/>
      <c r="B68" s="100"/>
      <c r="C68" s="102"/>
      <c r="D68" s="21">
        <v>25424.55</v>
      </c>
      <c r="E68" s="21">
        <v>25424.55</v>
      </c>
      <c r="F68" s="21">
        <v>0</v>
      </c>
      <c r="G68" s="21">
        <v>106.19</v>
      </c>
      <c r="H68" s="21">
        <v>25424.55</v>
      </c>
      <c r="I68" s="21">
        <v>25424.55</v>
      </c>
      <c r="J68" s="21">
        <v>0</v>
      </c>
      <c r="K68" s="21">
        <v>26.98</v>
      </c>
      <c r="L68" s="21">
        <v>25424.55</v>
      </c>
      <c r="M68" s="21">
        <v>25424.55</v>
      </c>
      <c r="N68" s="21">
        <v>0</v>
      </c>
      <c r="O68" s="21">
        <v>29.57</v>
      </c>
      <c r="P68" s="21">
        <v>25424.55</v>
      </c>
      <c r="Q68" s="21">
        <v>25424.55</v>
      </c>
      <c r="R68" s="21">
        <v>0</v>
      </c>
      <c r="S68" s="21">
        <v>27.47</v>
      </c>
      <c r="T68" s="1">
        <v>25424.55</v>
      </c>
      <c r="U68" s="1">
        <v>25424.55</v>
      </c>
      <c r="V68" s="3">
        <v>0</v>
      </c>
      <c r="W68" s="3">
        <v>0.35</v>
      </c>
      <c r="X68" s="1">
        <v>25424.55</v>
      </c>
      <c r="Y68" s="1">
        <v>25424.55</v>
      </c>
      <c r="Z68" s="3">
        <v>0</v>
      </c>
      <c r="AA68" s="3">
        <v>0.47</v>
      </c>
      <c r="AB68" s="1">
        <v>25424.55</v>
      </c>
      <c r="AC68" s="1">
        <v>25424.55</v>
      </c>
      <c r="AD68" s="3">
        <v>0</v>
      </c>
      <c r="AE68" s="3">
        <v>0.57999999999999996</v>
      </c>
    </row>
    <row r="69" spans="1:31">
      <c r="A69" s="100"/>
      <c r="B69" s="100"/>
      <c r="C69" s="102"/>
      <c r="D69" s="21">
        <v>28942.86</v>
      </c>
      <c r="E69" s="21">
        <v>28942.86</v>
      </c>
      <c r="F69" s="21">
        <v>0</v>
      </c>
      <c r="G69" s="21">
        <v>111.19</v>
      </c>
      <c r="H69" s="21">
        <v>28942.86</v>
      </c>
      <c r="I69" s="21">
        <v>28942.86</v>
      </c>
      <c r="J69" s="21">
        <v>0</v>
      </c>
      <c r="K69" s="21">
        <v>28.69</v>
      </c>
      <c r="L69" s="21">
        <v>28942.86</v>
      </c>
      <c r="M69" s="21">
        <v>28942.86</v>
      </c>
      <c r="N69" s="21">
        <v>0</v>
      </c>
      <c r="O69" s="21">
        <v>24.56</v>
      </c>
      <c r="P69" s="21">
        <v>28942.86</v>
      </c>
      <c r="Q69" s="21">
        <v>28942.86</v>
      </c>
      <c r="R69" s="21">
        <v>0</v>
      </c>
      <c r="S69" s="21">
        <v>30.38</v>
      </c>
      <c r="T69" s="1">
        <v>28942.86</v>
      </c>
      <c r="U69" s="1">
        <v>28942.86</v>
      </c>
      <c r="V69" s="3">
        <v>0</v>
      </c>
      <c r="W69" s="3">
        <v>0.32</v>
      </c>
      <c r="X69" s="1">
        <v>28942.86</v>
      </c>
      <c r="Y69" s="1">
        <v>28942.86</v>
      </c>
      <c r="Z69" s="3">
        <v>0</v>
      </c>
      <c r="AA69" s="3">
        <v>0.42</v>
      </c>
      <c r="AB69" s="1">
        <v>28942.86</v>
      </c>
      <c r="AC69" s="1">
        <v>28942.86</v>
      </c>
      <c r="AD69" s="3">
        <v>0</v>
      </c>
      <c r="AE69" s="3">
        <v>0.56000000000000005</v>
      </c>
    </row>
    <row r="70" spans="1:31">
      <c r="A70" s="100"/>
      <c r="B70" s="100"/>
      <c r="C70" s="102"/>
      <c r="D70" s="21">
        <v>48175.44</v>
      </c>
      <c r="E70" s="21">
        <v>48175.42</v>
      </c>
      <c r="F70" s="21">
        <v>0</v>
      </c>
      <c r="G70" s="21">
        <v>204.77</v>
      </c>
      <c r="H70" s="21">
        <v>48175.44</v>
      </c>
      <c r="I70" s="21">
        <v>48175.42</v>
      </c>
      <c r="J70" s="21">
        <v>0</v>
      </c>
      <c r="K70" s="21">
        <v>23.83</v>
      </c>
      <c r="L70" s="21">
        <v>48175.44</v>
      </c>
      <c r="M70" s="21">
        <v>48175.42</v>
      </c>
      <c r="N70" s="21">
        <v>0</v>
      </c>
      <c r="O70" s="21">
        <v>19.760000000000002</v>
      </c>
      <c r="P70" s="21">
        <v>48175.44</v>
      </c>
      <c r="Q70" s="21">
        <v>48175.42</v>
      </c>
      <c r="R70" s="21">
        <v>0</v>
      </c>
      <c r="S70" s="21">
        <v>24</v>
      </c>
      <c r="T70" s="1">
        <v>48175.44</v>
      </c>
      <c r="U70" s="1">
        <v>48175.44</v>
      </c>
      <c r="V70" s="3">
        <v>0</v>
      </c>
      <c r="W70" s="3">
        <v>0.38</v>
      </c>
      <c r="X70" s="1">
        <v>48175.44</v>
      </c>
      <c r="Y70" s="1">
        <v>48175.44</v>
      </c>
      <c r="Z70" s="3">
        <v>0</v>
      </c>
      <c r="AA70" s="3">
        <v>0.49</v>
      </c>
      <c r="AB70" s="1">
        <v>48175.44</v>
      </c>
      <c r="AC70" s="1">
        <v>48175.44</v>
      </c>
      <c r="AD70" s="3">
        <v>0</v>
      </c>
      <c r="AE70" s="3">
        <v>0.71</v>
      </c>
    </row>
    <row r="71" spans="1:31">
      <c r="A71" s="100"/>
      <c r="B71" s="100"/>
      <c r="C71" s="103"/>
      <c r="D71" s="21">
        <v>36646.9</v>
      </c>
      <c r="E71" s="21">
        <v>36646.9</v>
      </c>
      <c r="F71" s="21">
        <v>0</v>
      </c>
      <c r="G71" s="21">
        <v>69.459999999999994</v>
      </c>
      <c r="H71" s="21">
        <v>36646.9</v>
      </c>
      <c r="I71" s="21">
        <v>36646.9</v>
      </c>
      <c r="J71" s="21">
        <v>0</v>
      </c>
      <c r="K71" s="21">
        <v>30.25</v>
      </c>
      <c r="L71" s="21">
        <v>36646.9</v>
      </c>
      <c r="M71" s="21">
        <v>36646.9</v>
      </c>
      <c r="N71" s="21">
        <v>0</v>
      </c>
      <c r="O71" s="21">
        <v>19.64</v>
      </c>
      <c r="P71" s="21">
        <v>36646.9</v>
      </c>
      <c r="Q71" s="21">
        <v>36646.9</v>
      </c>
      <c r="R71" s="21">
        <v>0</v>
      </c>
      <c r="S71" s="21">
        <v>37.71</v>
      </c>
      <c r="T71" s="1">
        <v>36646.9</v>
      </c>
      <c r="U71" s="1">
        <v>36646.9</v>
      </c>
      <c r="V71" s="3">
        <v>0</v>
      </c>
      <c r="W71" s="3">
        <v>0.28000000000000003</v>
      </c>
      <c r="X71" s="1">
        <v>36646.9</v>
      </c>
      <c r="Y71" s="1">
        <v>36646.9</v>
      </c>
      <c r="Z71" s="3">
        <v>0</v>
      </c>
      <c r="AA71" s="3">
        <v>0.39</v>
      </c>
      <c r="AB71" s="1">
        <v>36646.9</v>
      </c>
      <c r="AC71" s="1">
        <v>36646.9</v>
      </c>
      <c r="AD71" s="3">
        <v>0</v>
      </c>
      <c r="AE71" s="3">
        <v>0.55000000000000004</v>
      </c>
    </row>
    <row r="72" spans="1:31">
      <c r="A72" s="100"/>
      <c r="B72" s="100"/>
      <c r="C72" s="41"/>
      <c r="D72" s="33">
        <f>AVERAGE(D67:D71)</f>
        <v>34345.172000000006</v>
      </c>
      <c r="E72" s="33">
        <f>AVERAGE(E67:E71)</f>
        <v>34345.167999999998</v>
      </c>
      <c r="F72" s="33">
        <f>AVERAGE(F67:F71)</f>
        <v>0</v>
      </c>
      <c r="G72" s="33">
        <f>AVERAGE(G67:G71)</f>
        <v>113.84400000000001</v>
      </c>
      <c r="H72" s="33">
        <f t="shared" ref="H72:K72" si="33">AVERAGE(H67:H71)</f>
        <v>34345.172000000006</v>
      </c>
      <c r="I72" s="33">
        <f t="shared" si="33"/>
        <v>34345.167999999998</v>
      </c>
      <c r="J72" s="33">
        <f t="shared" si="33"/>
        <v>0</v>
      </c>
      <c r="K72" s="33">
        <f t="shared" si="33"/>
        <v>26.673999999999999</v>
      </c>
      <c r="L72" s="33">
        <f t="shared" ref="L72:S72" si="34">AVERAGE(L67:L71)</f>
        <v>34345.172000000006</v>
      </c>
      <c r="M72" s="33">
        <f t="shared" si="34"/>
        <v>34345.167999999998</v>
      </c>
      <c r="N72" s="33">
        <f t="shared" si="34"/>
        <v>0</v>
      </c>
      <c r="O72" s="33">
        <f t="shared" si="34"/>
        <v>23.294000000000004</v>
      </c>
      <c r="P72" s="33">
        <f t="shared" si="34"/>
        <v>34345.172000000006</v>
      </c>
      <c r="Q72" s="33">
        <f t="shared" si="34"/>
        <v>34345.167999999998</v>
      </c>
      <c r="R72" s="33">
        <f t="shared" si="34"/>
        <v>0</v>
      </c>
      <c r="S72" s="33">
        <f t="shared" si="34"/>
        <v>29.27</v>
      </c>
      <c r="T72" s="8">
        <f t="shared" ref="T72:W72" si="35">AVERAGE(T67:T71)</f>
        <v>34345.172000000006</v>
      </c>
      <c r="U72" s="8">
        <f t="shared" si="35"/>
        <v>34345.172000000006</v>
      </c>
      <c r="V72" s="8">
        <f t="shared" si="35"/>
        <v>0</v>
      </c>
      <c r="W72" s="8">
        <f t="shared" si="35"/>
        <v>0.34799999999999998</v>
      </c>
      <c r="X72" s="8">
        <f t="shared" ref="X72:AE72" si="36">AVERAGE(X67:X71)</f>
        <v>34345.172000000006</v>
      </c>
      <c r="Y72" s="8">
        <f t="shared" si="36"/>
        <v>34345.172000000006</v>
      </c>
      <c r="Z72" s="8">
        <f t="shared" si="36"/>
        <v>0</v>
      </c>
      <c r="AA72" s="8">
        <f t="shared" si="36"/>
        <v>0.43999999999999995</v>
      </c>
      <c r="AB72" s="8">
        <f t="shared" si="36"/>
        <v>34345.172000000006</v>
      </c>
      <c r="AC72" s="8">
        <f t="shared" si="36"/>
        <v>34345.172000000006</v>
      </c>
      <c r="AD72" s="8">
        <f t="shared" si="36"/>
        <v>0</v>
      </c>
      <c r="AE72" s="8">
        <f t="shared" si="36"/>
        <v>0.59000000000000008</v>
      </c>
    </row>
    <row r="73" spans="1:31">
      <c r="A73" s="100"/>
      <c r="B73" s="100"/>
      <c r="C73" s="104">
        <v>4</v>
      </c>
      <c r="D73" s="32">
        <v>13187.24</v>
      </c>
      <c r="E73" s="32">
        <v>13187.24</v>
      </c>
      <c r="F73" s="32">
        <v>0</v>
      </c>
      <c r="G73" s="32">
        <v>4.8899999999999997</v>
      </c>
      <c r="H73" s="32">
        <v>13187.24</v>
      </c>
      <c r="I73" s="32">
        <v>13187.24</v>
      </c>
      <c r="J73" s="32">
        <v>0</v>
      </c>
      <c r="K73" s="32">
        <v>16.559999999999999</v>
      </c>
      <c r="L73" s="32">
        <v>13187.24</v>
      </c>
      <c r="M73" s="32">
        <v>13187.24</v>
      </c>
      <c r="N73" s="32">
        <v>0</v>
      </c>
      <c r="O73" s="32">
        <v>13.82</v>
      </c>
      <c r="P73" s="32">
        <v>13187.24</v>
      </c>
      <c r="Q73" s="32">
        <v>13187.24</v>
      </c>
      <c r="R73" s="32">
        <v>0</v>
      </c>
      <c r="S73" s="32">
        <v>13.84</v>
      </c>
      <c r="T73" s="4">
        <v>13187.24</v>
      </c>
      <c r="U73" s="4">
        <v>13187.24</v>
      </c>
      <c r="V73" s="5">
        <v>0</v>
      </c>
      <c r="W73" s="5">
        <v>0.37</v>
      </c>
      <c r="X73" s="4">
        <v>13187.24</v>
      </c>
      <c r="Y73" s="4">
        <v>13187.24</v>
      </c>
      <c r="Z73" s="5">
        <v>0</v>
      </c>
      <c r="AA73" s="5">
        <v>0.39</v>
      </c>
      <c r="AB73" s="4">
        <v>13187.24</v>
      </c>
      <c r="AC73" s="4">
        <v>13187.24</v>
      </c>
      <c r="AD73" s="5">
        <v>0</v>
      </c>
      <c r="AE73" s="5">
        <v>2.4500000000000002</v>
      </c>
    </row>
    <row r="74" spans="1:31">
      <c r="A74" s="100"/>
      <c r="B74" s="100"/>
      <c r="C74" s="102"/>
      <c r="D74" s="32">
        <v>19578.7</v>
      </c>
      <c r="E74" s="32">
        <v>19578.7</v>
      </c>
      <c r="F74" s="32">
        <v>0</v>
      </c>
      <c r="G74" s="32">
        <v>4.41</v>
      </c>
      <c r="H74" s="32">
        <v>19578.7</v>
      </c>
      <c r="I74" s="32">
        <v>19578.7</v>
      </c>
      <c r="J74" s="32">
        <v>0</v>
      </c>
      <c r="K74" s="32">
        <v>19.559999999999999</v>
      </c>
      <c r="L74" s="32">
        <v>19578.7</v>
      </c>
      <c r="M74" s="32">
        <v>19578.7</v>
      </c>
      <c r="N74" s="32">
        <v>0</v>
      </c>
      <c r="O74" s="32">
        <v>14.36</v>
      </c>
      <c r="P74" s="32">
        <v>19578.7</v>
      </c>
      <c r="Q74" s="32">
        <v>19578.7</v>
      </c>
      <c r="R74" s="32">
        <v>0</v>
      </c>
      <c r="S74" s="32">
        <v>19.309999999999999</v>
      </c>
      <c r="T74" s="4">
        <v>19578.7</v>
      </c>
      <c r="U74" s="4">
        <v>19578.7</v>
      </c>
      <c r="V74" s="5">
        <v>0</v>
      </c>
      <c r="W74" s="5">
        <v>1.18</v>
      </c>
      <c r="X74" s="4">
        <v>19578.7</v>
      </c>
      <c r="Y74" s="4">
        <v>19578.7</v>
      </c>
      <c r="Z74" s="5">
        <v>0</v>
      </c>
      <c r="AA74" s="5">
        <v>1.84</v>
      </c>
      <c r="AB74" s="4">
        <v>19578.7</v>
      </c>
      <c r="AC74" s="4">
        <v>19578.7</v>
      </c>
      <c r="AD74" s="5">
        <v>0</v>
      </c>
      <c r="AE74" s="5">
        <v>2.57</v>
      </c>
    </row>
    <row r="75" spans="1:31">
      <c r="A75" s="100"/>
      <c r="B75" s="100"/>
      <c r="C75" s="102"/>
      <c r="D75" s="32">
        <v>28538.06</v>
      </c>
      <c r="E75" s="32">
        <v>28538.06</v>
      </c>
      <c r="F75" s="32">
        <v>0</v>
      </c>
      <c r="G75" s="32">
        <v>2.97</v>
      </c>
      <c r="H75" s="32">
        <v>28538.06</v>
      </c>
      <c r="I75" s="32">
        <v>28538.06</v>
      </c>
      <c r="J75" s="32">
        <v>0</v>
      </c>
      <c r="K75" s="32">
        <v>15.18</v>
      </c>
      <c r="L75" s="32">
        <v>28538.06</v>
      </c>
      <c r="M75" s="32">
        <v>28538.06</v>
      </c>
      <c r="N75" s="32">
        <v>0</v>
      </c>
      <c r="O75" s="32">
        <v>13.21</v>
      </c>
      <c r="P75" s="32">
        <v>28538.06</v>
      </c>
      <c r="Q75" s="32">
        <v>28538.06</v>
      </c>
      <c r="R75" s="32">
        <v>0</v>
      </c>
      <c r="S75" s="32">
        <v>15.88</v>
      </c>
      <c r="T75" s="4">
        <v>28538.06</v>
      </c>
      <c r="U75" s="4">
        <v>28538.06</v>
      </c>
      <c r="V75" s="5">
        <v>0</v>
      </c>
      <c r="W75" s="5">
        <v>0.33</v>
      </c>
      <c r="X75" s="4">
        <v>28538.06</v>
      </c>
      <c r="Y75" s="4">
        <v>28538.06</v>
      </c>
      <c r="Z75" s="5">
        <v>0</v>
      </c>
      <c r="AA75" s="5">
        <v>1.71</v>
      </c>
      <c r="AB75" s="4">
        <v>28538.06</v>
      </c>
      <c r="AC75" s="4">
        <v>28538.06</v>
      </c>
      <c r="AD75" s="5">
        <v>0</v>
      </c>
      <c r="AE75" s="5">
        <v>2.63</v>
      </c>
    </row>
    <row r="76" spans="1:31">
      <c r="A76" s="100"/>
      <c r="B76" s="100"/>
      <c r="C76" s="102"/>
      <c r="D76" s="32">
        <v>14947.64</v>
      </c>
      <c r="E76" s="32">
        <v>14947.64</v>
      </c>
      <c r="F76" s="32">
        <v>0</v>
      </c>
      <c r="G76" s="32">
        <v>4</v>
      </c>
      <c r="H76" s="32">
        <v>14947.64</v>
      </c>
      <c r="I76" s="32">
        <v>14947.64</v>
      </c>
      <c r="J76" s="32">
        <v>0</v>
      </c>
      <c r="K76" s="32">
        <v>20.36</v>
      </c>
      <c r="L76" s="32">
        <v>14947.64</v>
      </c>
      <c r="M76" s="32">
        <v>14947.64</v>
      </c>
      <c r="N76" s="32">
        <v>0</v>
      </c>
      <c r="O76" s="32">
        <v>16.170000000000002</v>
      </c>
      <c r="P76" s="32">
        <v>14947.64</v>
      </c>
      <c r="Q76" s="32">
        <v>14947.64</v>
      </c>
      <c r="R76" s="32">
        <v>0</v>
      </c>
      <c r="S76" s="32">
        <v>17.82</v>
      </c>
      <c r="T76" s="4">
        <v>14947.64</v>
      </c>
      <c r="U76" s="4">
        <v>14947.64</v>
      </c>
      <c r="V76" s="5">
        <v>0</v>
      </c>
      <c r="W76" s="5">
        <v>1.53</v>
      </c>
      <c r="X76" s="4">
        <v>14947.64</v>
      </c>
      <c r="Y76" s="4">
        <v>14947.64</v>
      </c>
      <c r="Z76" s="5">
        <v>0</v>
      </c>
      <c r="AA76" s="5">
        <v>2.58</v>
      </c>
      <c r="AB76" s="4">
        <v>14947.64</v>
      </c>
      <c r="AC76" s="4">
        <v>14947.64</v>
      </c>
      <c r="AD76" s="5">
        <v>0</v>
      </c>
      <c r="AE76" s="5">
        <v>2.97</v>
      </c>
    </row>
    <row r="77" spans="1:31">
      <c r="A77" s="100"/>
      <c r="B77" s="100"/>
      <c r="C77" s="103"/>
      <c r="D77" s="32">
        <v>17866.099999999999</v>
      </c>
      <c r="E77" s="32">
        <v>17866.099999999999</v>
      </c>
      <c r="F77" s="32">
        <v>0</v>
      </c>
      <c r="G77" s="32">
        <v>2.16</v>
      </c>
      <c r="H77" s="32">
        <v>17866.099999999999</v>
      </c>
      <c r="I77" s="32">
        <v>17866.099999999999</v>
      </c>
      <c r="J77" s="32">
        <v>0</v>
      </c>
      <c r="K77" s="32">
        <v>20.27</v>
      </c>
      <c r="L77" s="32">
        <v>17866.099999999999</v>
      </c>
      <c r="M77" s="32">
        <v>17866.099999999999</v>
      </c>
      <c r="N77" s="32">
        <v>0</v>
      </c>
      <c r="O77" s="32">
        <v>18.43</v>
      </c>
      <c r="P77" s="32">
        <v>17866.099999999999</v>
      </c>
      <c r="Q77" s="32">
        <v>17866.099999999999</v>
      </c>
      <c r="R77" s="32">
        <v>0</v>
      </c>
      <c r="S77" s="32">
        <v>22.46</v>
      </c>
      <c r="T77" s="4">
        <v>17866.099999999999</v>
      </c>
      <c r="U77" s="4">
        <v>17866.099999999999</v>
      </c>
      <c r="V77" s="5">
        <v>0</v>
      </c>
      <c r="W77" s="5">
        <v>1.1299999999999999</v>
      </c>
      <c r="X77" s="4">
        <v>17866.099999999999</v>
      </c>
      <c r="Y77" s="4">
        <v>17866.099999999999</v>
      </c>
      <c r="Z77" s="5">
        <v>0</v>
      </c>
      <c r="AA77" s="5">
        <v>1.84</v>
      </c>
      <c r="AB77" s="4">
        <v>17866.099999999999</v>
      </c>
      <c r="AC77" s="4">
        <v>17866.099999999999</v>
      </c>
      <c r="AD77" s="5">
        <v>0</v>
      </c>
      <c r="AE77" s="5">
        <v>2.93</v>
      </c>
    </row>
    <row r="78" spans="1:31">
      <c r="A78" s="100"/>
      <c r="B78" s="100"/>
      <c r="C78" s="41"/>
      <c r="D78" s="38">
        <f>AVERAGE(D73:D77)</f>
        <v>18823.547999999999</v>
      </c>
      <c r="E78" s="38">
        <f>AVERAGE(E73:E77)</f>
        <v>18823.547999999999</v>
      </c>
      <c r="F78" s="38">
        <f>AVERAGE(F73:F77)</f>
        <v>0</v>
      </c>
      <c r="G78" s="38">
        <f>AVERAGE(G73:G77)</f>
        <v>3.6860000000000008</v>
      </c>
      <c r="H78" s="38">
        <f t="shared" ref="H78:K78" si="37">AVERAGE(H73:H77)</f>
        <v>18823.547999999999</v>
      </c>
      <c r="I78" s="38">
        <f t="shared" si="37"/>
        <v>18823.547999999999</v>
      </c>
      <c r="J78" s="38">
        <f t="shared" si="37"/>
        <v>0</v>
      </c>
      <c r="K78" s="38">
        <f t="shared" si="37"/>
        <v>18.385999999999999</v>
      </c>
      <c r="L78" s="38">
        <f t="shared" ref="L78:S78" si="38">AVERAGE(L73:L77)</f>
        <v>18823.547999999999</v>
      </c>
      <c r="M78" s="38">
        <f t="shared" si="38"/>
        <v>18823.547999999999</v>
      </c>
      <c r="N78" s="38">
        <f t="shared" si="38"/>
        <v>0</v>
      </c>
      <c r="O78" s="38">
        <f t="shared" si="38"/>
        <v>15.198000000000002</v>
      </c>
      <c r="P78" s="38">
        <f t="shared" si="38"/>
        <v>18823.547999999999</v>
      </c>
      <c r="Q78" s="38">
        <f t="shared" si="38"/>
        <v>18823.547999999999</v>
      </c>
      <c r="R78" s="38">
        <f t="shared" si="38"/>
        <v>0</v>
      </c>
      <c r="S78" s="38">
        <f t="shared" si="38"/>
        <v>17.862000000000002</v>
      </c>
      <c r="T78" s="37">
        <f t="shared" ref="T78:W78" si="39">AVERAGE(T73:T77)</f>
        <v>18823.547999999999</v>
      </c>
      <c r="U78" s="37">
        <f t="shared" si="39"/>
        <v>18823.547999999999</v>
      </c>
      <c r="V78" s="37">
        <f t="shared" si="39"/>
        <v>0</v>
      </c>
      <c r="W78" s="37">
        <f t="shared" si="39"/>
        <v>0.90800000000000003</v>
      </c>
      <c r="X78" s="38">
        <f t="shared" ref="X78:AE78" si="40">AVERAGE(X73:X77)</f>
        <v>18823.547999999999</v>
      </c>
      <c r="Y78" s="38">
        <f t="shared" si="40"/>
        <v>18823.547999999999</v>
      </c>
      <c r="Z78" s="38">
        <f t="shared" si="40"/>
        <v>0</v>
      </c>
      <c r="AA78" s="38">
        <f t="shared" si="40"/>
        <v>1.6719999999999999</v>
      </c>
      <c r="AB78" s="38">
        <f t="shared" si="40"/>
        <v>18823.547999999999</v>
      </c>
      <c r="AC78" s="38">
        <f t="shared" si="40"/>
        <v>18823.547999999999</v>
      </c>
      <c r="AD78" s="38">
        <f t="shared" si="40"/>
        <v>0</v>
      </c>
      <c r="AE78" s="38">
        <f t="shared" si="40"/>
        <v>2.71</v>
      </c>
    </row>
    <row r="79" spans="1:31">
      <c r="A79" s="100"/>
      <c r="B79" s="106">
        <v>15</v>
      </c>
      <c r="C79" s="107">
        <v>3</v>
      </c>
      <c r="D79" s="21">
        <v>222491.1</v>
      </c>
      <c r="E79" s="21">
        <v>47759.93</v>
      </c>
      <c r="F79" s="21">
        <v>78.53</v>
      </c>
      <c r="G79" s="21">
        <v>3600</v>
      </c>
      <c r="H79" s="21">
        <v>222174.62</v>
      </c>
      <c r="I79" s="21">
        <v>222174.62</v>
      </c>
      <c r="J79" s="3">
        <v>0</v>
      </c>
      <c r="K79" s="21">
        <v>2877.98</v>
      </c>
      <c r="L79" s="21">
        <v>222174.62</v>
      </c>
      <c r="M79" s="21">
        <v>215502.13</v>
      </c>
      <c r="N79" s="21">
        <v>3</v>
      </c>
      <c r="O79" s="21">
        <v>3600.3</v>
      </c>
      <c r="P79" s="21">
        <v>222180.63</v>
      </c>
      <c r="Q79" s="21">
        <v>202863.6</v>
      </c>
      <c r="R79" s="21">
        <v>8.69</v>
      </c>
      <c r="S79" s="21">
        <v>3600.07</v>
      </c>
      <c r="T79" s="21">
        <v>222174.62</v>
      </c>
      <c r="U79" s="21">
        <v>222174.62</v>
      </c>
      <c r="V79" s="3">
        <v>0</v>
      </c>
      <c r="W79" s="21">
        <v>110.27</v>
      </c>
      <c r="X79" s="21">
        <v>222174.62</v>
      </c>
      <c r="Y79" s="21">
        <v>222174.62</v>
      </c>
      <c r="Z79" s="21">
        <v>0</v>
      </c>
      <c r="AA79" s="21">
        <v>272.51</v>
      </c>
      <c r="AB79" s="21">
        <v>222174.62</v>
      </c>
      <c r="AC79" s="21">
        <v>222174.62</v>
      </c>
      <c r="AD79" s="21">
        <v>0</v>
      </c>
      <c r="AE79" s="21">
        <v>563.77</v>
      </c>
    </row>
    <row r="80" spans="1:31">
      <c r="A80" s="100"/>
      <c r="B80" s="106"/>
      <c r="C80" s="107"/>
      <c r="D80" s="21">
        <v>89071.37</v>
      </c>
      <c r="E80" s="21">
        <v>29402.76</v>
      </c>
      <c r="F80" s="21">
        <v>66.989999999999995</v>
      </c>
      <c r="G80" s="21">
        <v>3600</v>
      </c>
      <c r="H80" s="21">
        <v>89071.37</v>
      </c>
      <c r="I80" s="21">
        <v>89071.37</v>
      </c>
      <c r="J80" s="3">
        <v>0</v>
      </c>
      <c r="K80" s="21">
        <v>3362.15</v>
      </c>
      <c r="L80" s="21">
        <v>89071.37</v>
      </c>
      <c r="M80" s="21">
        <v>87792.25</v>
      </c>
      <c r="N80" s="21">
        <v>1.44</v>
      </c>
      <c r="O80" s="21">
        <v>3600.02</v>
      </c>
      <c r="P80" s="21">
        <v>89071.37</v>
      </c>
      <c r="Q80" s="21">
        <v>82731.710000000006</v>
      </c>
      <c r="R80" s="21">
        <v>7.12</v>
      </c>
      <c r="S80" s="21">
        <v>3600.04</v>
      </c>
      <c r="T80" s="21">
        <v>89071.37</v>
      </c>
      <c r="U80" s="21">
        <v>89071.37</v>
      </c>
      <c r="V80" s="3">
        <v>0</v>
      </c>
      <c r="W80" s="21">
        <v>111.44</v>
      </c>
      <c r="X80" s="21">
        <v>89071.37</v>
      </c>
      <c r="Y80" s="21">
        <v>89071.37</v>
      </c>
      <c r="Z80" s="21">
        <v>0</v>
      </c>
      <c r="AA80" s="21">
        <v>322.11</v>
      </c>
      <c r="AB80" s="21">
        <v>89071.37</v>
      </c>
      <c r="AC80" s="21">
        <v>89071.37</v>
      </c>
      <c r="AD80" s="21">
        <v>0</v>
      </c>
      <c r="AE80" s="21">
        <v>421.72</v>
      </c>
    </row>
    <row r="81" spans="1:31">
      <c r="A81" s="100"/>
      <c r="B81" s="106"/>
      <c r="C81" s="107"/>
      <c r="D81" s="21">
        <v>76652.92</v>
      </c>
      <c r="E81" s="21">
        <v>28655.69</v>
      </c>
      <c r="F81" s="21">
        <v>62.62</v>
      </c>
      <c r="G81" s="21">
        <v>3600</v>
      </c>
      <c r="H81" s="21">
        <v>76652.92</v>
      </c>
      <c r="I81" s="21">
        <v>76652.92</v>
      </c>
      <c r="J81" s="3">
        <v>0</v>
      </c>
      <c r="K81" s="21">
        <v>3281.14</v>
      </c>
      <c r="L81" s="21">
        <v>76652.92</v>
      </c>
      <c r="M81" s="21">
        <v>72636.44</v>
      </c>
      <c r="N81" s="21">
        <v>5.24</v>
      </c>
      <c r="O81" s="21">
        <v>3600.07</v>
      </c>
      <c r="P81" s="21">
        <v>76652.92</v>
      </c>
      <c r="Q81" s="21">
        <v>70110.12</v>
      </c>
      <c r="R81" s="21">
        <v>8.5399999999999991</v>
      </c>
      <c r="S81" s="21">
        <v>3600.38</v>
      </c>
      <c r="T81" s="21">
        <v>76652.92</v>
      </c>
      <c r="U81" s="21">
        <v>76652.92</v>
      </c>
      <c r="V81" s="3">
        <v>0</v>
      </c>
      <c r="W81" s="21">
        <v>132.24</v>
      </c>
      <c r="X81" s="21">
        <v>76652.92</v>
      </c>
      <c r="Y81" s="21">
        <v>76652.92</v>
      </c>
      <c r="Z81" s="21">
        <v>0</v>
      </c>
      <c r="AA81" s="21">
        <v>227.77</v>
      </c>
      <c r="AB81" s="21">
        <v>76652.92</v>
      </c>
      <c r="AC81" s="21">
        <v>76652.92</v>
      </c>
      <c r="AD81" s="21">
        <v>0</v>
      </c>
      <c r="AE81" s="21">
        <v>548.57000000000005</v>
      </c>
    </row>
    <row r="82" spans="1:31">
      <c r="A82" s="100"/>
      <c r="B82" s="106"/>
      <c r="C82" s="107"/>
      <c r="D82" s="21">
        <v>226680.82</v>
      </c>
      <c r="E82" s="21">
        <v>48294.78</v>
      </c>
      <c r="F82" s="21">
        <v>78.69</v>
      </c>
      <c r="G82" s="21">
        <v>3600</v>
      </c>
      <c r="H82" s="21">
        <v>225200.75</v>
      </c>
      <c r="I82" s="21">
        <v>225200.75</v>
      </c>
      <c r="J82" s="21">
        <v>0</v>
      </c>
      <c r="K82" s="21">
        <v>2596.9</v>
      </c>
      <c r="L82" s="21">
        <v>225200.75</v>
      </c>
      <c r="M82" s="21">
        <v>225200.75</v>
      </c>
      <c r="N82" s="21">
        <v>0</v>
      </c>
      <c r="O82" s="21">
        <v>2964.5</v>
      </c>
      <c r="P82" s="21">
        <v>225200.75</v>
      </c>
      <c r="Q82" s="21">
        <v>225200.75</v>
      </c>
      <c r="R82" s="21">
        <v>0</v>
      </c>
      <c r="S82" s="21">
        <v>3096.27</v>
      </c>
      <c r="T82" s="21">
        <v>225200.75</v>
      </c>
      <c r="U82" s="21">
        <v>225200.75</v>
      </c>
      <c r="V82" s="3">
        <v>0</v>
      </c>
      <c r="W82" s="21">
        <v>82.27</v>
      </c>
      <c r="X82" s="21">
        <v>225200.75</v>
      </c>
      <c r="Y82" s="21">
        <v>225200.75</v>
      </c>
      <c r="Z82" s="21">
        <v>0</v>
      </c>
      <c r="AA82" s="21">
        <v>159.41</v>
      </c>
      <c r="AB82" s="21">
        <v>225200.75</v>
      </c>
      <c r="AC82" s="21">
        <v>225200.75</v>
      </c>
      <c r="AD82" s="21">
        <v>0</v>
      </c>
      <c r="AE82" s="21">
        <v>286.83999999999997</v>
      </c>
    </row>
    <row r="83" spans="1:31">
      <c r="A83" s="100"/>
      <c r="B83" s="106"/>
      <c r="C83" s="107"/>
      <c r="D83" s="21">
        <v>147118.04</v>
      </c>
      <c r="E83" s="21">
        <v>44027.57</v>
      </c>
      <c r="F83" s="21">
        <v>70.069999999999993</v>
      </c>
      <c r="G83" s="21">
        <v>3600</v>
      </c>
      <c r="H83" s="21">
        <v>147118.04</v>
      </c>
      <c r="I83" s="21">
        <v>147118.04</v>
      </c>
      <c r="J83" s="21">
        <v>0</v>
      </c>
      <c r="K83" s="21">
        <v>3240.13</v>
      </c>
      <c r="L83" s="21">
        <v>147118.04</v>
      </c>
      <c r="M83" s="21">
        <v>147118.04</v>
      </c>
      <c r="N83" s="21">
        <v>0</v>
      </c>
      <c r="O83" s="21">
        <v>3328.53</v>
      </c>
      <c r="P83" s="21">
        <v>147118.04</v>
      </c>
      <c r="Q83" s="21">
        <v>139456.29</v>
      </c>
      <c r="R83" s="21">
        <v>5.21</v>
      </c>
      <c r="S83" s="21">
        <v>3600.03</v>
      </c>
      <c r="T83" s="21">
        <v>147118.04</v>
      </c>
      <c r="U83" s="21">
        <v>147118.04</v>
      </c>
      <c r="V83" s="3">
        <v>0</v>
      </c>
      <c r="W83" s="21">
        <v>93.17</v>
      </c>
      <c r="X83" s="21">
        <v>147118.04</v>
      </c>
      <c r="Y83" s="21">
        <v>147118.04</v>
      </c>
      <c r="Z83" s="21">
        <v>0</v>
      </c>
      <c r="AA83" s="21">
        <v>256.45</v>
      </c>
      <c r="AB83" s="21">
        <v>147118.04</v>
      </c>
      <c r="AC83" s="21">
        <v>147118.04</v>
      </c>
      <c r="AD83" s="21">
        <v>0</v>
      </c>
      <c r="AE83" s="21">
        <v>365.49</v>
      </c>
    </row>
    <row r="84" spans="1:31">
      <c r="A84" s="100"/>
      <c r="B84" s="106"/>
      <c r="C84" s="42"/>
      <c r="D84" s="33">
        <f t="shared" ref="D84:K84" si="41">AVERAGE(D79:D83)</f>
        <v>152402.85</v>
      </c>
      <c r="E84" s="33">
        <f t="shared" si="41"/>
        <v>39628.146000000001</v>
      </c>
      <c r="F84" s="33">
        <f t="shared" si="41"/>
        <v>71.38</v>
      </c>
      <c r="G84" s="33">
        <f t="shared" si="41"/>
        <v>3600</v>
      </c>
      <c r="H84" s="33">
        <f t="shared" si="41"/>
        <v>152043.53999999998</v>
      </c>
      <c r="I84" s="33">
        <f t="shared" si="41"/>
        <v>152043.53999999998</v>
      </c>
      <c r="J84" s="33">
        <f t="shared" si="41"/>
        <v>0</v>
      </c>
      <c r="K84" s="33">
        <f t="shared" si="41"/>
        <v>3071.66</v>
      </c>
      <c r="L84" s="33">
        <f t="shared" ref="L84:AE84" si="42">AVERAGE(L79:L83)</f>
        <v>152043.53999999998</v>
      </c>
      <c r="M84" s="33">
        <f t="shared" si="42"/>
        <v>149649.92200000002</v>
      </c>
      <c r="N84" s="33">
        <f t="shared" si="42"/>
        <v>1.9359999999999999</v>
      </c>
      <c r="O84" s="33">
        <f t="shared" si="42"/>
        <v>3418.6839999999997</v>
      </c>
      <c r="P84" s="33">
        <f t="shared" si="42"/>
        <v>152044.742</v>
      </c>
      <c r="Q84" s="33">
        <f t="shared" si="42"/>
        <v>144072.49400000001</v>
      </c>
      <c r="R84" s="33">
        <f t="shared" si="42"/>
        <v>5.9119999999999999</v>
      </c>
      <c r="S84" s="33">
        <f t="shared" si="42"/>
        <v>3499.3580000000002</v>
      </c>
      <c r="T84" s="8">
        <f t="shared" si="42"/>
        <v>152043.53999999998</v>
      </c>
      <c r="U84" s="8">
        <f t="shared" si="42"/>
        <v>152043.53999999998</v>
      </c>
      <c r="V84" s="8">
        <f t="shared" si="42"/>
        <v>0</v>
      </c>
      <c r="W84" s="8">
        <f t="shared" si="42"/>
        <v>105.878</v>
      </c>
      <c r="X84" s="33">
        <f t="shared" si="42"/>
        <v>152043.53999999998</v>
      </c>
      <c r="Y84" s="33">
        <f t="shared" si="42"/>
        <v>152043.53999999998</v>
      </c>
      <c r="Z84" s="33">
        <f t="shared" si="42"/>
        <v>0</v>
      </c>
      <c r="AA84" s="33">
        <f t="shared" si="42"/>
        <v>247.65</v>
      </c>
      <c r="AB84" s="33">
        <f t="shared" si="42"/>
        <v>152043.53999999998</v>
      </c>
      <c r="AC84" s="33">
        <f t="shared" si="42"/>
        <v>152043.53999999998</v>
      </c>
      <c r="AD84" s="33">
        <f t="shared" si="42"/>
        <v>0</v>
      </c>
      <c r="AE84" s="33">
        <f t="shared" si="42"/>
        <v>437.27799999999996</v>
      </c>
    </row>
    <row r="85" spans="1:31">
      <c r="A85" s="100"/>
      <c r="B85" s="106"/>
      <c r="C85" s="117">
        <v>4</v>
      </c>
      <c r="D85" s="32">
        <v>60044.97</v>
      </c>
      <c r="E85" s="32">
        <v>30710.47</v>
      </c>
      <c r="F85" s="32">
        <v>48.85</v>
      </c>
      <c r="G85" s="32">
        <v>3600</v>
      </c>
      <c r="H85" s="32">
        <v>60044.97</v>
      </c>
      <c r="I85" s="32">
        <v>51614.31</v>
      </c>
      <c r="J85" s="32">
        <v>14.04</v>
      </c>
      <c r="K85" s="32">
        <v>3600.02</v>
      </c>
      <c r="L85" s="32">
        <v>59957.3</v>
      </c>
      <c r="M85" s="32">
        <v>49434.25</v>
      </c>
      <c r="N85" s="32">
        <v>17.55</v>
      </c>
      <c r="O85" s="32">
        <v>3600.15</v>
      </c>
      <c r="P85" s="32">
        <v>60044.97</v>
      </c>
      <c r="Q85" s="32">
        <v>46746.94</v>
      </c>
      <c r="R85" s="32">
        <v>22.15</v>
      </c>
      <c r="S85" s="32">
        <v>3600.1</v>
      </c>
      <c r="T85" s="32">
        <v>59726.400000000001</v>
      </c>
      <c r="U85" s="32">
        <v>59726.400000000001</v>
      </c>
      <c r="V85" s="5">
        <v>0</v>
      </c>
      <c r="W85" s="32">
        <v>299.43</v>
      </c>
      <c r="X85" s="32">
        <v>59726.400000000001</v>
      </c>
      <c r="Y85" s="32">
        <v>59726.400000000001</v>
      </c>
      <c r="Z85" s="32">
        <v>0</v>
      </c>
      <c r="AA85" s="32">
        <v>519.96</v>
      </c>
      <c r="AB85" s="32">
        <v>59726.400000000001</v>
      </c>
      <c r="AC85" s="32">
        <v>59726.400000000001</v>
      </c>
      <c r="AD85" s="32">
        <v>0</v>
      </c>
      <c r="AE85" s="32">
        <v>918.43</v>
      </c>
    </row>
    <row r="86" spans="1:31">
      <c r="A86" s="100"/>
      <c r="B86" s="106"/>
      <c r="C86" s="117"/>
      <c r="D86" s="32">
        <v>62634.559999999998</v>
      </c>
      <c r="E86" s="32">
        <v>34929.769999999997</v>
      </c>
      <c r="F86" s="32">
        <v>44.23</v>
      </c>
      <c r="G86" s="32">
        <v>3600</v>
      </c>
      <c r="H86" s="32">
        <v>62634.559999999998</v>
      </c>
      <c r="I86" s="32">
        <v>56119.89</v>
      </c>
      <c r="J86" s="32">
        <v>10.4</v>
      </c>
      <c r="K86" s="32">
        <v>3600.02</v>
      </c>
      <c r="L86" s="32">
        <v>63659.06</v>
      </c>
      <c r="M86" s="32">
        <v>53017.73</v>
      </c>
      <c r="N86" s="32">
        <v>16.72</v>
      </c>
      <c r="O86" s="32">
        <v>3600.04</v>
      </c>
      <c r="P86" s="32">
        <v>62634.559999999998</v>
      </c>
      <c r="Q86" s="32">
        <v>51204.13</v>
      </c>
      <c r="R86" s="32">
        <v>18.25</v>
      </c>
      <c r="S86" s="32">
        <v>3600.03</v>
      </c>
      <c r="T86" s="32">
        <v>62634.559999999998</v>
      </c>
      <c r="U86" s="32">
        <v>62634.559999999998</v>
      </c>
      <c r="V86" s="5">
        <v>0</v>
      </c>
      <c r="W86" s="32">
        <v>422.82</v>
      </c>
      <c r="X86" s="32">
        <v>62634.559999999998</v>
      </c>
      <c r="Y86" s="32">
        <v>62634.559999999998</v>
      </c>
      <c r="Z86" s="32">
        <v>0</v>
      </c>
      <c r="AA86" s="32">
        <v>437.27</v>
      </c>
      <c r="AB86" s="32">
        <v>62634.559999999998</v>
      </c>
      <c r="AC86" s="32">
        <v>62634.559999999998</v>
      </c>
      <c r="AD86" s="32">
        <v>0</v>
      </c>
      <c r="AE86" s="32">
        <v>1175.27</v>
      </c>
    </row>
    <row r="87" spans="1:31">
      <c r="A87" s="100"/>
      <c r="B87" s="106"/>
      <c r="C87" s="117"/>
      <c r="D87" s="32">
        <v>65863.42</v>
      </c>
      <c r="E87" s="32">
        <v>34482.03</v>
      </c>
      <c r="F87" s="32">
        <v>47.65</v>
      </c>
      <c r="G87" s="32">
        <v>3600</v>
      </c>
      <c r="H87" s="32">
        <v>65863.39</v>
      </c>
      <c r="I87" s="32">
        <v>62517.82</v>
      </c>
      <c r="J87" s="32">
        <v>5.08</v>
      </c>
      <c r="K87" s="32">
        <v>3600.02</v>
      </c>
      <c r="L87" s="32">
        <v>65863.42</v>
      </c>
      <c r="M87" s="32">
        <v>59688.2</v>
      </c>
      <c r="N87" s="32">
        <v>9.3800000000000008</v>
      </c>
      <c r="O87" s="32">
        <v>3600.02</v>
      </c>
      <c r="P87" s="32">
        <v>65863.42</v>
      </c>
      <c r="Q87" s="32">
        <v>58957.23</v>
      </c>
      <c r="R87" s="32">
        <v>10.49</v>
      </c>
      <c r="S87" s="32">
        <v>3600.02</v>
      </c>
      <c r="T87" s="32">
        <v>65863.42</v>
      </c>
      <c r="U87" s="32">
        <v>65863.42</v>
      </c>
      <c r="V87" s="5">
        <v>0</v>
      </c>
      <c r="W87" s="32">
        <v>225.16</v>
      </c>
      <c r="X87" s="32">
        <v>65863.42</v>
      </c>
      <c r="Y87" s="32">
        <v>65863.42</v>
      </c>
      <c r="Z87" s="32">
        <v>0</v>
      </c>
      <c r="AA87" s="32">
        <v>252.48</v>
      </c>
      <c r="AB87" s="32">
        <v>65863.42</v>
      </c>
      <c r="AC87" s="32">
        <v>65863.42</v>
      </c>
      <c r="AD87" s="32">
        <v>0</v>
      </c>
      <c r="AE87" s="32">
        <v>705.36</v>
      </c>
    </row>
    <row r="88" spans="1:31">
      <c r="A88" s="100"/>
      <c r="B88" s="106"/>
      <c r="C88" s="117"/>
      <c r="D88" s="32">
        <v>49222.080000000002</v>
      </c>
      <c r="E88" s="32">
        <v>28661.64</v>
      </c>
      <c r="F88" s="32">
        <v>41.77</v>
      </c>
      <c r="G88" s="32">
        <v>3600</v>
      </c>
      <c r="H88" s="32">
        <v>49125.02</v>
      </c>
      <c r="I88" s="32">
        <v>44095.97</v>
      </c>
      <c r="J88" s="32">
        <v>10.24</v>
      </c>
      <c r="K88" s="32">
        <v>3600.13</v>
      </c>
      <c r="L88" s="32">
        <v>49125.02</v>
      </c>
      <c r="M88" s="32">
        <v>44056.2</v>
      </c>
      <c r="N88" s="32">
        <v>10.32</v>
      </c>
      <c r="O88" s="32">
        <v>3600.07</v>
      </c>
      <c r="P88" s="32">
        <v>49084.07</v>
      </c>
      <c r="Q88" s="32">
        <v>41904.21</v>
      </c>
      <c r="R88" s="32">
        <v>14.63</v>
      </c>
      <c r="S88" s="32">
        <v>3600.07</v>
      </c>
      <c r="T88" s="32">
        <v>49084.07</v>
      </c>
      <c r="U88" s="32">
        <v>49084.07</v>
      </c>
      <c r="V88" s="5">
        <v>0</v>
      </c>
      <c r="W88" s="32">
        <v>309.56</v>
      </c>
      <c r="X88" s="32">
        <v>49084.07</v>
      </c>
      <c r="Y88" s="32">
        <v>49084.07</v>
      </c>
      <c r="Z88" s="32">
        <v>0</v>
      </c>
      <c r="AA88" s="32">
        <v>386.29</v>
      </c>
      <c r="AB88" s="32">
        <v>49084.07</v>
      </c>
      <c r="AC88" s="32">
        <v>49084.07</v>
      </c>
      <c r="AD88" s="32">
        <v>0</v>
      </c>
      <c r="AE88" s="32">
        <v>611.67999999999995</v>
      </c>
    </row>
    <row r="89" spans="1:31">
      <c r="A89" s="100"/>
      <c r="B89" s="106"/>
      <c r="C89" s="117"/>
      <c r="D89" s="32">
        <v>43585.38</v>
      </c>
      <c r="E89" s="32">
        <v>26266.59</v>
      </c>
      <c r="F89" s="32">
        <v>39.74</v>
      </c>
      <c r="G89" s="32">
        <v>3600</v>
      </c>
      <c r="H89" s="32">
        <v>43517.04</v>
      </c>
      <c r="I89" s="32">
        <v>41340.94</v>
      </c>
      <c r="J89" s="32">
        <v>5</v>
      </c>
      <c r="K89" s="32">
        <v>3600.03</v>
      </c>
      <c r="L89" s="32">
        <v>43585.38</v>
      </c>
      <c r="M89" s="32">
        <v>40158.550000000003</v>
      </c>
      <c r="N89" s="32">
        <v>7.86</v>
      </c>
      <c r="O89" s="32">
        <v>3600.02</v>
      </c>
      <c r="P89" s="32">
        <v>43585.38</v>
      </c>
      <c r="Q89" s="32">
        <v>39011.82</v>
      </c>
      <c r="R89" s="32">
        <v>10.49</v>
      </c>
      <c r="S89" s="32">
        <v>3600.03</v>
      </c>
      <c r="T89" s="32">
        <v>43517.04</v>
      </c>
      <c r="U89" s="32">
        <v>43517.04</v>
      </c>
      <c r="V89" s="5">
        <v>0</v>
      </c>
      <c r="W89" s="32">
        <v>328.12</v>
      </c>
      <c r="X89" s="32">
        <v>43517.04</v>
      </c>
      <c r="Y89" s="32">
        <v>43517.04</v>
      </c>
      <c r="Z89" s="32">
        <v>0</v>
      </c>
      <c r="AA89" s="32">
        <v>329.61</v>
      </c>
      <c r="AB89" s="32">
        <v>43517.04</v>
      </c>
      <c r="AC89" s="32">
        <v>43517.04</v>
      </c>
      <c r="AD89" s="32">
        <v>0</v>
      </c>
      <c r="AE89" s="32">
        <v>646.4</v>
      </c>
    </row>
    <row r="90" spans="1:31">
      <c r="A90" s="100"/>
      <c r="B90" s="106"/>
      <c r="C90" s="42"/>
      <c r="D90" s="33">
        <f t="shared" ref="D90:K90" si="43">AVERAGE(D85:D89)</f>
        <v>56270.082000000009</v>
      </c>
      <c r="E90" s="33">
        <f t="shared" si="43"/>
        <v>31010.1</v>
      </c>
      <c r="F90" s="33">
        <f t="shared" si="43"/>
        <v>44.448</v>
      </c>
      <c r="G90" s="33">
        <f t="shared" si="43"/>
        <v>3600</v>
      </c>
      <c r="H90" s="33">
        <f t="shared" si="43"/>
        <v>56236.995999999999</v>
      </c>
      <c r="I90" s="33">
        <f t="shared" si="43"/>
        <v>51137.786</v>
      </c>
      <c r="J90" s="33">
        <f t="shared" si="43"/>
        <v>8.952</v>
      </c>
      <c r="K90" s="33">
        <f t="shared" si="43"/>
        <v>3600.0439999999994</v>
      </c>
      <c r="L90" s="33">
        <f t="shared" ref="L90:AE90" si="44">AVERAGE(L85:L89)</f>
        <v>56438.036</v>
      </c>
      <c r="M90" s="33">
        <f t="shared" si="44"/>
        <v>49270.985999999997</v>
      </c>
      <c r="N90" s="33">
        <f t="shared" si="44"/>
        <v>12.366</v>
      </c>
      <c r="O90" s="33">
        <f t="shared" si="44"/>
        <v>3600.06</v>
      </c>
      <c r="P90" s="33">
        <f t="shared" si="44"/>
        <v>56242.48</v>
      </c>
      <c r="Q90" s="33">
        <f t="shared" si="44"/>
        <v>47564.866000000002</v>
      </c>
      <c r="R90" s="33">
        <f t="shared" si="44"/>
        <v>15.201999999999998</v>
      </c>
      <c r="S90" s="33">
        <f t="shared" si="44"/>
        <v>3600.05</v>
      </c>
      <c r="T90" s="8">
        <f t="shared" si="44"/>
        <v>56165.097999999998</v>
      </c>
      <c r="U90" s="8">
        <f t="shared" si="44"/>
        <v>56165.097999999998</v>
      </c>
      <c r="V90" s="8">
        <f t="shared" si="44"/>
        <v>0</v>
      </c>
      <c r="W90" s="8">
        <f t="shared" si="44"/>
        <v>317.01800000000003</v>
      </c>
      <c r="X90" s="33">
        <f t="shared" si="44"/>
        <v>56165.097999999998</v>
      </c>
      <c r="Y90" s="33">
        <f t="shared" si="44"/>
        <v>56165.097999999998</v>
      </c>
      <c r="Z90" s="33">
        <f t="shared" si="44"/>
        <v>0</v>
      </c>
      <c r="AA90" s="33">
        <f t="shared" si="44"/>
        <v>385.12200000000001</v>
      </c>
      <c r="AB90" s="33">
        <f t="shared" si="44"/>
        <v>56165.097999999998</v>
      </c>
      <c r="AC90" s="33">
        <f t="shared" si="44"/>
        <v>56165.097999999998</v>
      </c>
      <c r="AD90" s="33">
        <f t="shared" si="44"/>
        <v>0</v>
      </c>
      <c r="AE90" s="33">
        <f t="shared" si="44"/>
        <v>811.428</v>
      </c>
    </row>
    <row r="91" spans="1:31">
      <c r="A91" s="100"/>
      <c r="B91" s="105">
        <v>20</v>
      </c>
      <c r="C91" s="104">
        <v>4</v>
      </c>
      <c r="D91" s="21">
        <v>125581.83</v>
      </c>
      <c r="E91" s="21">
        <v>37234.94</v>
      </c>
      <c r="F91" s="21">
        <v>70.349999999999994</v>
      </c>
      <c r="G91" s="21">
        <v>3600</v>
      </c>
      <c r="H91" s="21">
        <v>142859.10999999999</v>
      </c>
      <c r="I91" s="21">
        <v>23345.07</v>
      </c>
      <c r="J91" s="21">
        <v>83.66</v>
      </c>
      <c r="K91" s="21">
        <v>3600.38</v>
      </c>
      <c r="L91" s="21">
        <v>134524.54</v>
      </c>
      <c r="M91" s="21">
        <v>29899.16</v>
      </c>
      <c r="N91" s="21">
        <v>77.77</v>
      </c>
      <c r="O91" s="21">
        <v>3600.54</v>
      </c>
      <c r="P91" s="21">
        <v>150720.32999999999</v>
      </c>
      <c r="Q91" s="21">
        <v>33503.879999999997</v>
      </c>
      <c r="R91" s="21">
        <v>77.77</v>
      </c>
      <c r="S91" s="21">
        <v>3600.06</v>
      </c>
      <c r="T91" s="3">
        <v>125765.65</v>
      </c>
      <c r="U91" s="3">
        <v>49203.53</v>
      </c>
      <c r="V91" s="3">
        <v>60.88</v>
      </c>
      <c r="W91" s="3">
        <v>3600.28</v>
      </c>
      <c r="X91" s="3">
        <v>125376.76</v>
      </c>
      <c r="Y91" s="3">
        <v>55109.34</v>
      </c>
      <c r="Z91" s="3">
        <v>56.05</v>
      </c>
      <c r="AA91" s="3">
        <v>3600.14</v>
      </c>
      <c r="AB91" s="3">
        <v>127074.84</v>
      </c>
      <c r="AC91" s="3">
        <v>48223.71</v>
      </c>
      <c r="AD91" s="3">
        <v>62.05</v>
      </c>
      <c r="AE91" s="3">
        <v>3600.2</v>
      </c>
    </row>
    <row r="92" spans="1:31">
      <c r="A92" s="100"/>
      <c r="B92" s="100"/>
      <c r="C92" s="102"/>
      <c r="D92" s="21">
        <v>207625.76</v>
      </c>
      <c r="E92" s="21">
        <v>50875.86</v>
      </c>
      <c r="F92" s="21">
        <v>75.5</v>
      </c>
      <c r="G92" s="21">
        <v>3600</v>
      </c>
      <c r="H92" s="21">
        <v>233008</v>
      </c>
      <c r="I92" s="21">
        <v>30346.84</v>
      </c>
      <c r="J92" s="21">
        <v>86.98</v>
      </c>
      <c r="K92" s="21">
        <v>3600.03</v>
      </c>
      <c r="L92" s="21">
        <v>219039.73</v>
      </c>
      <c r="M92" s="21">
        <v>39096.57</v>
      </c>
      <c r="N92" s="21">
        <v>82.15</v>
      </c>
      <c r="O92" s="21">
        <v>3600.41</v>
      </c>
      <c r="P92" s="21">
        <v>229521.43</v>
      </c>
      <c r="Q92" s="21">
        <v>33986.39</v>
      </c>
      <c r="R92" s="21">
        <v>85.19</v>
      </c>
      <c r="S92" s="21">
        <v>3600.34</v>
      </c>
      <c r="T92" s="3">
        <v>204025.15</v>
      </c>
      <c r="U92" s="3">
        <v>79690.740000000005</v>
      </c>
      <c r="V92" s="3">
        <v>60.94</v>
      </c>
      <c r="W92" s="3">
        <v>3600.09</v>
      </c>
      <c r="X92" s="3">
        <v>204640.24</v>
      </c>
      <c r="Y92" s="3">
        <v>75815.08</v>
      </c>
      <c r="Z92" s="3">
        <v>62.95</v>
      </c>
      <c r="AA92" s="3">
        <v>3600.3</v>
      </c>
      <c r="AB92" s="3">
        <v>205373.74</v>
      </c>
      <c r="AC92" s="3">
        <v>65960.45</v>
      </c>
      <c r="AD92" s="3">
        <v>67.88</v>
      </c>
      <c r="AE92" s="3">
        <v>3600.05</v>
      </c>
    </row>
    <row r="93" spans="1:31">
      <c r="A93" s="100"/>
      <c r="B93" s="100"/>
      <c r="C93" s="102"/>
      <c r="D93" s="21">
        <v>322127.37</v>
      </c>
      <c r="E93" s="21">
        <v>62195.32</v>
      </c>
      <c r="F93" s="21">
        <v>80.69</v>
      </c>
      <c r="G93" s="21">
        <v>3600</v>
      </c>
      <c r="H93" s="21">
        <v>327976.45</v>
      </c>
      <c r="I93" s="21">
        <v>45727.91</v>
      </c>
      <c r="J93" s="21">
        <v>86.06</v>
      </c>
      <c r="K93" s="21">
        <v>3600.02</v>
      </c>
      <c r="L93" s="21">
        <v>392805.47</v>
      </c>
      <c r="M93" s="21">
        <v>46847.26</v>
      </c>
      <c r="N93" s="21">
        <v>88.07</v>
      </c>
      <c r="O93" s="21">
        <v>3600.09</v>
      </c>
      <c r="P93" s="21">
        <v>333309.24</v>
      </c>
      <c r="Q93" s="21">
        <v>44022.080000000002</v>
      </c>
      <c r="R93" s="21">
        <v>86.79</v>
      </c>
      <c r="S93" s="21">
        <v>3600.04</v>
      </c>
      <c r="T93" s="3">
        <v>320603.45</v>
      </c>
      <c r="U93" s="3">
        <v>89729.82</v>
      </c>
      <c r="V93" s="3">
        <v>72.010000000000005</v>
      </c>
      <c r="W93" s="3">
        <v>3600.03</v>
      </c>
      <c r="X93" s="3">
        <v>323422.77</v>
      </c>
      <c r="Y93" s="3">
        <v>83207.899999999994</v>
      </c>
      <c r="Z93" s="3">
        <v>74.27</v>
      </c>
      <c r="AA93" s="3">
        <v>3600.09</v>
      </c>
      <c r="AB93" s="3">
        <v>323218.31</v>
      </c>
      <c r="AC93" s="3">
        <v>70417.09</v>
      </c>
      <c r="AD93" s="3">
        <v>78.209999999999994</v>
      </c>
      <c r="AE93" s="3">
        <v>3600.06</v>
      </c>
    </row>
    <row r="94" spans="1:31">
      <c r="A94" s="100"/>
      <c r="B94" s="100"/>
      <c r="C94" s="102"/>
      <c r="D94" s="21">
        <v>158222.99</v>
      </c>
      <c r="E94" s="21">
        <v>42721.5</v>
      </c>
      <c r="F94" s="21">
        <v>73</v>
      </c>
      <c r="G94" s="21">
        <v>3600</v>
      </c>
      <c r="H94" s="21">
        <v>179345.87</v>
      </c>
      <c r="I94" s="21">
        <v>28848.9</v>
      </c>
      <c r="J94" s="21">
        <v>83.91</v>
      </c>
      <c r="K94" s="21">
        <v>3600.05</v>
      </c>
      <c r="L94" s="21">
        <v>177023.52</v>
      </c>
      <c r="M94" s="21">
        <v>31033.95</v>
      </c>
      <c r="N94" s="21">
        <v>82.47</v>
      </c>
      <c r="O94" s="21">
        <v>3600.07</v>
      </c>
      <c r="P94" s="21">
        <v>184724.86</v>
      </c>
      <c r="Q94" s="21">
        <v>31992.01</v>
      </c>
      <c r="R94" s="21">
        <v>82.68</v>
      </c>
      <c r="S94" s="21">
        <v>3600.23</v>
      </c>
      <c r="T94" s="3">
        <v>158569.81</v>
      </c>
      <c r="U94" s="3">
        <v>63453.18</v>
      </c>
      <c r="V94" s="3">
        <v>59.98</v>
      </c>
      <c r="W94" s="3">
        <v>3600.08</v>
      </c>
      <c r="X94" s="3">
        <v>158607.24</v>
      </c>
      <c r="Y94" s="3">
        <v>57537.23</v>
      </c>
      <c r="Z94" s="3">
        <v>63.72</v>
      </c>
      <c r="AA94" s="3">
        <v>3600.1</v>
      </c>
      <c r="AB94" s="3">
        <v>159544.32000000001</v>
      </c>
      <c r="AC94" s="3">
        <v>52931.64</v>
      </c>
      <c r="AD94" s="3">
        <v>66.819999999999993</v>
      </c>
      <c r="AE94" s="3">
        <v>3600.24</v>
      </c>
    </row>
    <row r="95" spans="1:31">
      <c r="A95" s="100"/>
      <c r="B95" s="100"/>
      <c r="C95" s="103"/>
      <c r="D95" s="21">
        <v>107341.72</v>
      </c>
      <c r="E95" s="21">
        <v>33604.79</v>
      </c>
      <c r="F95" s="21">
        <v>68.69</v>
      </c>
      <c r="G95" s="21">
        <v>3600</v>
      </c>
      <c r="H95" s="21">
        <v>115089.75</v>
      </c>
      <c r="I95" s="21">
        <v>21344.46</v>
      </c>
      <c r="J95" s="21">
        <v>81.45</v>
      </c>
      <c r="K95" s="21">
        <v>3600.09</v>
      </c>
      <c r="L95" s="21">
        <v>118493.75</v>
      </c>
      <c r="M95" s="21">
        <v>26602.560000000001</v>
      </c>
      <c r="N95" s="21">
        <v>77.55</v>
      </c>
      <c r="O95" s="21">
        <v>3600.25</v>
      </c>
      <c r="P95" s="21">
        <v>126014.86</v>
      </c>
      <c r="Q95" s="21">
        <v>24432.28</v>
      </c>
      <c r="R95" s="21">
        <v>80.61</v>
      </c>
      <c r="S95" s="21">
        <v>3600.02</v>
      </c>
      <c r="T95" s="3">
        <v>106705.12</v>
      </c>
      <c r="U95" s="3">
        <v>43697.56</v>
      </c>
      <c r="V95" s="3">
        <v>59.05</v>
      </c>
      <c r="W95" s="3">
        <v>3600.09</v>
      </c>
      <c r="X95" s="3">
        <v>108052.54</v>
      </c>
      <c r="Y95" s="3">
        <v>40526.42</v>
      </c>
      <c r="Z95" s="3">
        <v>62.49</v>
      </c>
      <c r="AA95" s="3">
        <v>3600.04</v>
      </c>
      <c r="AB95" s="3">
        <v>109360.77</v>
      </c>
      <c r="AC95" s="3">
        <v>41496.050000000003</v>
      </c>
      <c r="AD95" s="3">
        <v>62.06</v>
      </c>
      <c r="AE95" s="3">
        <v>3600.03</v>
      </c>
    </row>
    <row r="96" spans="1:31">
      <c r="A96" s="100"/>
      <c r="B96" s="100"/>
      <c r="C96" s="41"/>
      <c r="D96" s="33">
        <f t="shared" ref="D96:K96" si="45">AVERAGE(D91:D95)</f>
        <v>184179.93399999998</v>
      </c>
      <c r="E96" s="33">
        <f t="shared" si="45"/>
        <v>45326.482000000004</v>
      </c>
      <c r="F96" s="33">
        <f t="shared" si="45"/>
        <v>73.645999999999987</v>
      </c>
      <c r="G96" s="33">
        <f t="shared" si="45"/>
        <v>3600</v>
      </c>
      <c r="H96" s="33">
        <f t="shared" si="45"/>
        <v>199655.83600000001</v>
      </c>
      <c r="I96" s="33">
        <f t="shared" si="45"/>
        <v>29922.635999999999</v>
      </c>
      <c r="J96" s="33">
        <f t="shared" si="45"/>
        <v>84.412000000000006</v>
      </c>
      <c r="K96" s="33">
        <f t="shared" si="45"/>
        <v>3600.114</v>
      </c>
      <c r="L96" s="33">
        <f t="shared" ref="L96:AE96" si="46">AVERAGE(L91:L95)</f>
        <v>208377.402</v>
      </c>
      <c r="M96" s="33">
        <f t="shared" si="46"/>
        <v>34695.9</v>
      </c>
      <c r="N96" s="33">
        <f t="shared" si="46"/>
        <v>81.602000000000004</v>
      </c>
      <c r="O96" s="33">
        <f t="shared" si="46"/>
        <v>3600.2719999999999</v>
      </c>
      <c r="P96" s="33">
        <f t="shared" si="46"/>
        <v>204858.144</v>
      </c>
      <c r="Q96" s="33">
        <f t="shared" si="46"/>
        <v>33587.327999999994</v>
      </c>
      <c r="R96" s="33">
        <f t="shared" si="46"/>
        <v>82.608000000000004</v>
      </c>
      <c r="S96" s="33">
        <f t="shared" si="46"/>
        <v>3600.1379999999999</v>
      </c>
      <c r="T96" s="8">
        <f t="shared" si="46"/>
        <v>183133.83600000001</v>
      </c>
      <c r="U96" s="8">
        <f t="shared" si="46"/>
        <v>65154.966</v>
      </c>
      <c r="V96" s="8">
        <f t="shared" si="46"/>
        <v>62.571999999999989</v>
      </c>
      <c r="W96" s="8">
        <f t="shared" si="46"/>
        <v>3600.114</v>
      </c>
      <c r="X96" s="8">
        <f t="shared" si="46"/>
        <v>184019.91</v>
      </c>
      <c r="Y96" s="8">
        <f t="shared" si="46"/>
        <v>62439.193999999996</v>
      </c>
      <c r="Z96" s="8">
        <f t="shared" si="46"/>
        <v>63.896000000000001</v>
      </c>
      <c r="AA96" s="8">
        <f t="shared" si="46"/>
        <v>3600.1340000000005</v>
      </c>
      <c r="AB96" s="8">
        <f t="shared" si="46"/>
        <v>184914.39600000001</v>
      </c>
      <c r="AC96" s="8">
        <f t="shared" si="46"/>
        <v>55805.788</v>
      </c>
      <c r="AD96" s="8">
        <f t="shared" si="46"/>
        <v>67.403999999999996</v>
      </c>
      <c r="AE96" s="8">
        <f t="shared" si="46"/>
        <v>3600.1159999999995</v>
      </c>
    </row>
    <row r="97" spans="1:31">
      <c r="A97" s="100"/>
      <c r="B97" s="100"/>
      <c r="C97" s="104">
        <v>5</v>
      </c>
      <c r="D97" s="32">
        <v>118335.23</v>
      </c>
      <c r="E97" s="32">
        <v>46510.22</v>
      </c>
      <c r="F97" s="32">
        <v>60.7</v>
      </c>
      <c r="G97" s="32">
        <v>3600</v>
      </c>
      <c r="H97" s="32">
        <v>129793.58</v>
      </c>
      <c r="I97" s="32">
        <v>24725.33</v>
      </c>
      <c r="J97" s="32">
        <v>80.95</v>
      </c>
      <c r="K97" s="32">
        <v>3600.01</v>
      </c>
      <c r="L97" s="32">
        <v>146867.66</v>
      </c>
      <c r="M97" s="32">
        <v>37846.39</v>
      </c>
      <c r="N97" s="32">
        <v>74.23</v>
      </c>
      <c r="O97" s="32">
        <v>3600.05</v>
      </c>
      <c r="P97" s="32">
        <v>144260.81</v>
      </c>
      <c r="Q97" s="32">
        <v>35224.75</v>
      </c>
      <c r="R97" s="32">
        <v>75.58</v>
      </c>
      <c r="S97" s="32">
        <v>3600.07</v>
      </c>
      <c r="T97" s="5">
        <v>117317.56</v>
      </c>
      <c r="U97" s="5">
        <v>55130.54</v>
      </c>
      <c r="V97" s="5">
        <v>53.01</v>
      </c>
      <c r="W97" s="5">
        <v>3600.02</v>
      </c>
      <c r="X97" s="5">
        <v>118264.1</v>
      </c>
      <c r="Y97" s="5">
        <v>55401.68</v>
      </c>
      <c r="Z97" s="5">
        <v>53.15</v>
      </c>
      <c r="AA97" s="5">
        <v>3600.08</v>
      </c>
      <c r="AB97" s="5">
        <v>117828.47</v>
      </c>
      <c r="AC97" s="5">
        <v>49815.32</v>
      </c>
      <c r="AD97" s="5">
        <v>57.72</v>
      </c>
      <c r="AE97" s="5">
        <v>3600.08</v>
      </c>
    </row>
    <row r="98" spans="1:31">
      <c r="A98" s="100"/>
      <c r="B98" s="100"/>
      <c r="C98" s="102"/>
      <c r="D98" s="32">
        <v>113352.99</v>
      </c>
      <c r="E98" s="32">
        <v>47174.44</v>
      </c>
      <c r="F98" s="32">
        <v>58.38</v>
      </c>
      <c r="G98" s="32">
        <v>3600</v>
      </c>
      <c r="H98" s="32">
        <v>131048.82</v>
      </c>
      <c r="I98" s="32">
        <v>39888.120000000003</v>
      </c>
      <c r="J98" s="32">
        <v>69.56</v>
      </c>
      <c r="K98" s="32">
        <v>3600.93</v>
      </c>
      <c r="L98" s="32">
        <v>126955.7</v>
      </c>
      <c r="M98" s="32">
        <v>45369.66</v>
      </c>
      <c r="N98" s="32">
        <v>64.260000000000005</v>
      </c>
      <c r="O98" s="32">
        <v>3600.06</v>
      </c>
      <c r="P98" s="32">
        <v>123354.29</v>
      </c>
      <c r="Q98" s="32">
        <v>44117.29</v>
      </c>
      <c r="R98" s="32">
        <v>64.239999999999995</v>
      </c>
      <c r="S98" s="32">
        <v>3600.09</v>
      </c>
      <c r="T98" s="5">
        <v>113524.66</v>
      </c>
      <c r="U98" s="5">
        <v>68744.289999999994</v>
      </c>
      <c r="V98" s="5">
        <v>39.450000000000003</v>
      </c>
      <c r="W98" s="5">
        <v>3600.03</v>
      </c>
      <c r="X98" s="5">
        <v>113622.31</v>
      </c>
      <c r="Y98" s="5">
        <v>69684.13</v>
      </c>
      <c r="Z98" s="5">
        <v>38.67</v>
      </c>
      <c r="AA98" s="5">
        <v>3600.02</v>
      </c>
      <c r="AB98" s="5">
        <v>113591.89</v>
      </c>
      <c r="AC98" s="5">
        <v>62724.77</v>
      </c>
      <c r="AD98" s="5">
        <v>44.78</v>
      </c>
      <c r="AE98" s="5">
        <v>3600.09</v>
      </c>
    </row>
    <row r="99" spans="1:31">
      <c r="A99" s="100"/>
      <c r="B99" s="100"/>
      <c r="C99" s="102"/>
      <c r="D99" s="32">
        <v>81569.7</v>
      </c>
      <c r="E99" s="32">
        <v>38082.58</v>
      </c>
      <c r="F99" s="32">
        <v>53.31</v>
      </c>
      <c r="G99" s="32">
        <v>3600</v>
      </c>
      <c r="H99" s="32">
        <v>87072.93</v>
      </c>
      <c r="I99" s="32">
        <v>23108.28</v>
      </c>
      <c r="J99" s="32">
        <v>73.459999999999994</v>
      </c>
      <c r="K99" s="32">
        <v>3600.3</v>
      </c>
      <c r="L99" s="32">
        <v>89864.98</v>
      </c>
      <c r="M99" s="32">
        <v>29424.57</v>
      </c>
      <c r="N99" s="32">
        <v>67.260000000000005</v>
      </c>
      <c r="O99" s="32">
        <v>3600.05</v>
      </c>
      <c r="P99" s="32">
        <v>92123.47</v>
      </c>
      <c r="Q99" s="32">
        <v>27867.37</v>
      </c>
      <c r="R99" s="32">
        <v>69.75</v>
      </c>
      <c r="S99" s="32">
        <v>3600.02</v>
      </c>
      <c r="T99" s="5">
        <v>81368.149999999994</v>
      </c>
      <c r="U99" s="5">
        <v>41538.589999999997</v>
      </c>
      <c r="V99" s="5">
        <v>48.95</v>
      </c>
      <c r="W99" s="5">
        <v>3600.08</v>
      </c>
      <c r="X99" s="5">
        <v>81054.350000000006</v>
      </c>
      <c r="Y99" s="5">
        <v>41906.21</v>
      </c>
      <c r="Z99" s="5">
        <v>48.3</v>
      </c>
      <c r="AA99" s="5">
        <v>3600.1</v>
      </c>
      <c r="AB99" s="5">
        <v>82023.8</v>
      </c>
      <c r="AC99" s="5">
        <v>40779.879999999997</v>
      </c>
      <c r="AD99" s="5">
        <v>50.28</v>
      </c>
      <c r="AE99" s="5">
        <v>3600.01</v>
      </c>
    </row>
    <row r="100" spans="1:31">
      <c r="A100" s="100"/>
      <c r="B100" s="100"/>
      <c r="C100" s="102"/>
      <c r="D100" s="32">
        <v>98369.58</v>
      </c>
      <c r="E100" s="32">
        <v>40949.730000000003</v>
      </c>
      <c r="F100" s="32">
        <v>58.37</v>
      </c>
      <c r="G100" s="32">
        <v>3600</v>
      </c>
      <c r="H100" s="32">
        <v>106375.36</v>
      </c>
      <c r="I100" s="32">
        <v>28249.88</v>
      </c>
      <c r="J100" s="32">
        <v>73.44</v>
      </c>
      <c r="K100" s="32">
        <v>3600.76</v>
      </c>
      <c r="L100" s="32">
        <v>113004.22</v>
      </c>
      <c r="M100" s="32">
        <v>33334.32</v>
      </c>
      <c r="N100" s="32">
        <v>70.5</v>
      </c>
      <c r="O100" s="32">
        <v>3600.04</v>
      </c>
      <c r="P100" s="32">
        <v>114259.3</v>
      </c>
      <c r="Q100" s="32">
        <v>29856.65</v>
      </c>
      <c r="R100" s="32">
        <v>73.87</v>
      </c>
      <c r="S100" s="32">
        <v>3600.23</v>
      </c>
      <c r="T100" s="5">
        <v>97614.23</v>
      </c>
      <c r="U100" s="5">
        <v>46540.81</v>
      </c>
      <c r="V100" s="5">
        <v>52.32</v>
      </c>
      <c r="W100" s="5">
        <v>3600.02</v>
      </c>
      <c r="X100" s="5">
        <v>97614.23</v>
      </c>
      <c r="Y100" s="5">
        <v>48587.09</v>
      </c>
      <c r="Z100" s="5">
        <v>50.23</v>
      </c>
      <c r="AA100" s="5">
        <v>3600.02</v>
      </c>
      <c r="AB100" s="5">
        <v>98220.45</v>
      </c>
      <c r="AC100" s="5">
        <v>43378.49</v>
      </c>
      <c r="AD100" s="5">
        <v>55.84</v>
      </c>
      <c r="AE100" s="5">
        <v>3600.22</v>
      </c>
    </row>
    <row r="101" spans="1:31">
      <c r="A101" s="100"/>
      <c r="B101" s="100"/>
      <c r="C101" s="103"/>
      <c r="D101" s="32">
        <v>100963.1</v>
      </c>
      <c r="E101" s="32">
        <v>42317.1</v>
      </c>
      <c r="F101" s="32">
        <v>58.09</v>
      </c>
      <c r="G101" s="32">
        <v>3600</v>
      </c>
      <c r="H101" s="32">
        <v>105530.41</v>
      </c>
      <c r="I101" s="32">
        <v>22334.71</v>
      </c>
      <c r="J101" s="32">
        <v>78.84</v>
      </c>
      <c r="K101" s="32">
        <v>3600.07</v>
      </c>
      <c r="L101" s="32">
        <v>120163.08</v>
      </c>
      <c r="M101" s="32">
        <v>31976.18</v>
      </c>
      <c r="N101" s="32">
        <v>73.39</v>
      </c>
      <c r="O101" s="32">
        <v>3600.08</v>
      </c>
      <c r="P101" s="32">
        <v>108992.74</v>
      </c>
      <c r="Q101" s="32">
        <v>32243.75</v>
      </c>
      <c r="R101" s="32">
        <v>70.42</v>
      </c>
      <c r="S101" s="32">
        <v>3600.06</v>
      </c>
      <c r="T101" s="5">
        <v>100199.28</v>
      </c>
      <c r="U101" s="5">
        <v>43581.34</v>
      </c>
      <c r="V101" s="5">
        <v>56.51</v>
      </c>
      <c r="W101" s="5">
        <v>3600.14</v>
      </c>
      <c r="X101" s="5">
        <v>100576.24</v>
      </c>
      <c r="Y101" s="5">
        <v>48851.72</v>
      </c>
      <c r="Z101" s="5">
        <v>51.43</v>
      </c>
      <c r="AA101" s="5">
        <v>3600.02</v>
      </c>
      <c r="AB101" s="5">
        <v>100701.15</v>
      </c>
      <c r="AC101" s="5">
        <v>47068.85</v>
      </c>
      <c r="AD101" s="5">
        <v>53.26</v>
      </c>
      <c r="AE101" s="5">
        <v>3600.09</v>
      </c>
    </row>
    <row r="102" spans="1:31" s="19" customFormat="1">
      <c r="A102" s="100"/>
      <c r="B102" s="101"/>
      <c r="C102" s="8"/>
      <c r="D102" s="8">
        <f t="shared" ref="D102:K102" si="47">AVERAGE(D97:D101)</f>
        <v>102518.12</v>
      </c>
      <c r="E102" s="8">
        <f t="shared" si="47"/>
        <v>43006.813999999998</v>
      </c>
      <c r="F102" s="8">
        <f t="shared" si="47"/>
        <v>57.77</v>
      </c>
      <c r="G102" s="8">
        <f t="shared" si="47"/>
        <v>3600</v>
      </c>
      <c r="H102" s="8">
        <f t="shared" si="47"/>
        <v>111964.22</v>
      </c>
      <c r="I102" s="8">
        <f t="shared" si="47"/>
        <v>27661.264000000003</v>
      </c>
      <c r="J102" s="8">
        <f t="shared" si="47"/>
        <v>75.25</v>
      </c>
      <c r="K102" s="8">
        <f t="shared" si="47"/>
        <v>3600.4140000000007</v>
      </c>
      <c r="L102" s="8">
        <f t="shared" ref="L102:AE102" si="48">AVERAGE(L97:L101)</f>
        <v>119371.12799999998</v>
      </c>
      <c r="M102" s="8">
        <f t="shared" si="48"/>
        <v>35590.224000000002</v>
      </c>
      <c r="N102" s="8">
        <f t="shared" si="48"/>
        <v>69.927999999999997</v>
      </c>
      <c r="O102" s="8">
        <f t="shared" si="48"/>
        <v>3600.0559999999996</v>
      </c>
      <c r="P102" s="8">
        <f t="shared" si="48"/>
        <v>116598.122</v>
      </c>
      <c r="Q102" s="8">
        <f t="shared" si="48"/>
        <v>33861.962</v>
      </c>
      <c r="R102" s="8">
        <f t="shared" si="48"/>
        <v>70.772000000000006</v>
      </c>
      <c r="S102" s="8">
        <f t="shared" si="48"/>
        <v>3600.0940000000001</v>
      </c>
      <c r="T102" s="8">
        <f t="shared" si="48"/>
        <v>102004.776</v>
      </c>
      <c r="U102" s="8">
        <f t="shared" si="48"/>
        <v>51107.113999999994</v>
      </c>
      <c r="V102" s="8">
        <f t="shared" si="48"/>
        <v>50.048000000000002</v>
      </c>
      <c r="W102" s="8">
        <f t="shared" si="48"/>
        <v>3600.058</v>
      </c>
      <c r="X102" s="8">
        <f t="shared" si="48"/>
        <v>102226.246</v>
      </c>
      <c r="Y102" s="8">
        <f t="shared" si="48"/>
        <v>52886.16599999999</v>
      </c>
      <c r="Z102" s="8">
        <f t="shared" si="48"/>
        <v>48.356000000000002</v>
      </c>
      <c r="AA102" s="8">
        <f t="shared" si="48"/>
        <v>3600.0480000000002</v>
      </c>
      <c r="AB102" s="8">
        <f t="shared" si="48"/>
        <v>102473.152</v>
      </c>
      <c r="AC102" s="8">
        <f t="shared" si="48"/>
        <v>48753.462</v>
      </c>
      <c r="AD102" s="8">
        <f t="shared" si="48"/>
        <v>52.375999999999998</v>
      </c>
      <c r="AE102" s="8">
        <f t="shared" si="48"/>
        <v>3600.0979999999995</v>
      </c>
    </row>
  </sheetData>
  <mergeCells count="36">
    <mergeCell ref="A1:C2"/>
    <mergeCell ref="D1:G2"/>
    <mergeCell ref="A55:A102"/>
    <mergeCell ref="B55:B66"/>
    <mergeCell ref="C55:C59"/>
    <mergeCell ref="C61:C65"/>
    <mergeCell ref="B67:B78"/>
    <mergeCell ref="C67:C71"/>
    <mergeCell ref="C73:C77"/>
    <mergeCell ref="C97:C101"/>
    <mergeCell ref="B79:B90"/>
    <mergeCell ref="C79:C83"/>
    <mergeCell ref="C85:C89"/>
    <mergeCell ref="B91:B102"/>
    <mergeCell ref="C91:C95"/>
    <mergeCell ref="A4:A51"/>
    <mergeCell ref="B4:B15"/>
    <mergeCell ref="C4:C8"/>
    <mergeCell ref="C10:C14"/>
    <mergeCell ref="B16:B27"/>
    <mergeCell ref="C16:C20"/>
    <mergeCell ref="C22:C26"/>
    <mergeCell ref="B28:B39"/>
    <mergeCell ref="C28:C32"/>
    <mergeCell ref="C34:C38"/>
    <mergeCell ref="B40:B51"/>
    <mergeCell ref="C40:C44"/>
    <mergeCell ref="C46:C50"/>
    <mergeCell ref="T1:AE1"/>
    <mergeCell ref="AB2:AE2"/>
    <mergeCell ref="X2:AA2"/>
    <mergeCell ref="T2:W2"/>
    <mergeCell ref="H2:K2"/>
    <mergeCell ref="L2:O2"/>
    <mergeCell ref="H1:S1"/>
    <mergeCell ref="P2:S2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AE8C-D8DF-F34F-BD0B-A5502641BFB8}">
  <dimension ref="A1:E33"/>
  <sheetViews>
    <sheetView tabSelected="1" zoomScale="125" workbookViewId="0">
      <selection activeCell="G37" sqref="G37"/>
    </sheetView>
  </sheetViews>
  <sheetFormatPr baseColWidth="10" defaultRowHeight="16"/>
  <cols>
    <col min="1" max="1" width="9" customWidth="1"/>
    <col min="2" max="2" width="11.83203125" customWidth="1"/>
    <col min="3" max="4" width="15.1640625" customWidth="1"/>
    <col min="5" max="5" width="14" customWidth="1"/>
  </cols>
  <sheetData>
    <row r="1" spans="1:5">
      <c r="A1" s="98" t="s">
        <v>0</v>
      </c>
      <c r="B1" s="98"/>
      <c r="C1" s="110" t="s">
        <v>45</v>
      </c>
      <c r="D1" s="110"/>
      <c r="E1" s="84"/>
    </row>
    <row r="2" spans="1:5">
      <c r="A2" s="99"/>
      <c r="B2" s="99"/>
      <c r="C2" s="79" t="s">
        <v>38</v>
      </c>
      <c r="D2" s="79" t="s">
        <v>39</v>
      </c>
      <c r="E2" s="78"/>
    </row>
    <row r="3" spans="1:5" ht="21" customHeight="1">
      <c r="A3" s="6" t="s">
        <v>86</v>
      </c>
      <c r="B3" s="40" t="s">
        <v>80</v>
      </c>
      <c r="C3" s="6" t="s">
        <v>87</v>
      </c>
      <c r="D3" s="6" t="s">
        <v>88</v>
      </c>
      <c r="E3" s="6" t="s">
        <v>89</v>
      </c>
    </row>
    <row r="4" spans="1:5">
      <c r="A4" s="108">
        <v>0</v>
      </c>
      <c r="B4" s="1">
        <v>1</v>
      </c>
      <c r="C4" s="3">
        <v>411.1</v>
      </c>
      <c r="D4" s="3">
        <v>485.01</v>
      </c>
      <c r="E4" s="3">
        <f>C4/D4</f>
        <v>0.84761138945588754</v>
      </c>
    </row>
    <row r="5" spans="1:5">
      <c r="A5" s="109"/>
      <c r="B5" s="1">
        <v>2</v>
      </c>
      <c r="C5" s="3">
        <v>307.06</v>
      </c>
      <c r="D5" s="3">
        <v>300.27999999999997</v>
      </c>
      <c r="E5" s="3">
        <f t="shared" ref="E5:E33" si="0">C5/D5</f>
        <v>1.0225789263354204</v>
      </c>
    </row>
    <row r="6" spans="1:5">
      <c r="A6" s="109"/>
      <c r="B6" s="1">
        <v>3</v>
      </c>
      <c r="C6" s="3">
        <v>438.48</v>
      </c>
      <c r="D6" s="3">
        <v>317.61</v>
      </c>
      <c r="E6" s="3">
        <f t="shared" si="0"/>
        <v>1.3805610654576368</v>
      </c>
    </row>
    <row r="7" spans="1:5">
      <c r="A7" s="109"/>
      <c r="B7" s="1">
        <v>4</v>
      </c>
      <c r="C7" s="3">
        <v>259.66000000000003</v>
      </c>
      <c r="D7" s="3">
        <v>535.37</v>
      </c>
      <c r="E7" s="3">
        <f t="shared" si="0"/>
        <v>0.48501036666230835</v>
      </c>
    </row>
    <row r="8" spans="1:5">
      <c r="A8" s="109"/>
      <c r="B8" s="1">
        <v>5</v>
      </c>
      <c r="C8" s="3">
        <v>222.3</v>
      </c>
      <c r="D8" s="3">
        <v>197.3</v>
      </c>
      <c r="E8" s="3">
        <f t="shared" si="0"/>
        <v>1.1267105930055752</v>
      </c>
    </row>
    <row r="9" spans="1:5">
      <c r="A9" s="118"/>
      <c r="B9" s="68" t="s">
        <v>18</v>
      </c>
      <c r="C9" s="8">
        <f>AVERAGE(C4:C8)</f>
        <v>327.72</v>
      </c>
      <c r="D9" s="8">
        <f>AVERAGE(D4:D8)</f>
        <v>367.11399999999998</v>
      </c>
      <c r="E9" s="8">
        <f t="shared" si="0"/>
        <v>0.89269273304750041</v>
      </c>
    </row>
    <row r="10" spans="1:5">
      <c r="A10" s="108">
        <v>0.25</v>
      </c>
      <c r="B10" s="1">
        <v>1</v>
      </c>
      <c r="C10" s="3">
        <v>292.39999999999998</v>
      </c>
      <c r="D10" s="3">
        <v>459.56</v>
      </c>
      <c r="E10" s="3">
        <f t="shared" si="0"/>
        <v>0.63626077117242574</v>
      </c>
    </row>
    <row r="11" spans="1:5">
      <c r="A11" s="109"/>
      <c r="B11" s="1">
        <v>2</v>
      </c>
      <c r="C11" s="3">
        <v>227.07</v>
      </c>
      <c r="D11" s="3">
        <v>309.32</v>
      </c>
      <c r="E11" s="3">
        <f t="shared" si="0"/>
        <v>0.73409414198887879</v>
      </c>
    </row>
    <row r="12" spans="1:5">
      <c r="A12" s="109"/>
      <c r="B12" s="1">
        <v>3</v>
      </c>
      <c r="C12" s="3">
        <v>280.54000000000002</v>
      </c>
      <c r="D12" s="3">
        <v>337.47</v>
      </c>
      <c r="E12" s="3">
        <f t="shared" si="0"/>
        <v>0.8313035232761431</v>
      </c>
    </row>
    <row r="13" spans="1:5">
      <c r="A13" s="109"/>
      <c r="B13" s="1">
        <v>4</v>
      </c>
      <c r="C13" s="3">
        <v>631.66</v>
      </c>
      <c r="D13" s="3">
        <v>499.67</v>
      </c>
      <c r="E13" s="3">
        <f t="shared" si="0"/>
        <v>1.2641543418656311</v>
      </c>
    </row>
    <row r="14" spans="1:5">
      <c r="A14" s="109"/>
      <c r="B14" s="1">
        <v>5</v>
      </c>
      <c r="C14" s="3">
        <v>225.38</v>
      </c>
      <c r="D14" s="3">
        <v>354.57</v>
      </c>
      <c r="E14" s="3">
        <f t="shared" si="0"/>
        <v>0.63564317342132726</v>
      </c>
    </row>
    <row r="15" spans="1:5">
      <c r="A15" s="118"/>
      <c r="B15" s="68" t="s">
        <v>18</v>
      </c>
      <c r="C15" s="8">
        <f>AVERAGE(C10:C14)</f>
        <v>331.41</v>
      </c>
      <c r="D15" s="8">
        <f>AVERAGE(D10:D14)</f>
        <v>392.11799999999999</v>
      </c>
      <c r="E15" s="8">
        <f t="shared" si="0"/>
        <v>0.84517925726439502</v>
      </c>
    </row>
    <row r="16" spans="1:5">
      <c r="A16" s="108">
        <v>0.5</v>
      </c>
      <c r="B16" s="1">
        <v>1</v>
      </c>
      <c r="C16" s="3">
        <v>262.42</v>
      </c>
      <c r="D16" s="3">
        <v>607.39</v>
      </c>
      <c r="E16" s="3">
        <f t="shared" si="0"/>
        <v>0.43204530861555185</v>
      </c>
    </row>
    <row r="17" spans="1:5">
      <c r="A17" s="109"/>
      <c r="B17" s="1">
        <v>2</v>
      </c>
      <c r="C17" s="3">
        <v>256.57</v>
      </c>
      <c r="D17" s="3">
        <v>356.61</v>
      </c>
      <c r="E17" s="3">
        <f t="shared" si="0"/>
        <v>0.71946944841703819</v>
      </c>
    </row>
    <row r="18" spans="1:5">
      <c r="A18" s="109"/>
      <c r="B18" s="1">
        <v>3</v>
      </c>
      <c r="C18" s="3">
        <v>277.44</v>
      </c>
      <c r="D18" s="3">
        <v>219.88</v>
      </c>
      <c r="E18" s="3">
        <f t="shared" si="0"/>
        <v>1.2617791522648718</v>
      </c>
    </row>
    <row r="19" spans="1:5">
      <c r="A19" s="109"/>
      <c r="B19" s="1">
        <v>4</v>
      </c>
      <c r="C19" s="3">
        <v>540.54</v>
      </c>
      <c r="D19" s="3">
        <v>423.83</v>
      </c>
      <c r="E19" s="3">
        <f t="shared" si="0"/>
        <v>1.2753698416818064</v>
      </c>
    </row>
    <row r="20" spans="1:5">
      <c r="A20" s="109"/>
      <c r="B20" s="1">
        <v>5</v>
      </c>
      <c r="C20" s="3">
        <v>228.96</v>
      </c>
      <c r="D20" s="3">
        <v>522.58000000000004</v>
      </c>
      <c r="E20" s="3">
        <f t="shared" si="0"/>
        <v>0.43813387423935091</v>
      </c>
    </row>
    <row r="21" spans="1:5">
      <c r="A21" s="118"/>
      <c r="B21" s="68" t="s">
        <v>18</v>
      </c>
      <c r="C21" s="8">
        <f>AVERAGE(C16:C20)</f>
        <v>313.18600000000004</v>
      </c>
      <c r="D21" s="8">
        <f>AVERAGE(D16:D20)</f>
        <v>426.05799999999999</v>
      </c>
      <c r="E21" s="8">
        <f t="shared" si="0"/>
        <v>0.73507832266968354</v>
      </c>
    </row>
    <row r="22" spans="1:5">
      <c r="A22" s="108">
        <v>0.75</v>
      </c>
      <c r="B22" s="1">
        <v>1</v>
      </c>
      <c r="C22" s="3">
        <v>255.85</v>
      </c>
      <c r="D22" s="3">
        <v>282.81</v>
      </c>
      <c r="E22" s="3">
        <f t="shared" si="0"/>
        <v>0.90467098051695483</v>
      </c>
    </row>
    <row r="23" spans="1:5">
      <c r="A23" s="109"/>
      <c r="B23" s="1">
        <v>2</v>
      </c>
      <c r="C23" s="3">
        <v>207.54</v>
      </c>
      <c r="D23" s="3">
        <v>216.42</v>
      </c>
      <c r="E23" s="3">
        <f t="shared" si="0"/>
        <v>0.95896867202661495</v>
      </c>
    </row>
    <row r="24" spans="1:5">
      <c r="A24" s="109"/>
      <c r="B24" s="1">
        <v>3</v>
      </c>
      <c r="C24" s="3">
        <v>205.08</v>
      </c>
      <c r="D24" s="3">
        <v>366.9</v>
      </c>
      <c r="E24" s="3">
        <f t="shared" si="0"/>
        <v>0.5589533932951759</v>
      </c>
    </row>
    <row r="25" spans="1:5">
      <c r="A25" s="109"/>
      <c r="B25" s="1">
        <v>4</v>
      </c>
      <c r="C25" s="3">
        <v>235.87</v>
      </c>
      <c r="D25" s="3">
        <v>203.68</v>
      </c>
      <c r="E25" s="3">
        <f t="shared" si="0"/>
        <v>1.1580420267085625</v>
      </c>
    </row>
    <row r="26" spans="1:5">
      <c r="A26" s="109"/>
      <c r="B26" s="1">
        <v>5</v>
      </c>
      <c r="C26" s="3">
        <v>379.91</v>
      </c>
      <c r="D26" s="3">
        <v>225.41</v>
      </c>
      <c r="E26" s="3">
        <f t="shared" si="0"/>
        <v>1.685417683332594</v>
      </c>
    </row>
    <row r="27" spans="1:5">
      <c r="A27" s="118"/>
      <c r="B27" s="68" t="s">
        <v>18</v>
      </c>
      <c r="C27" s="8">
        <f>AVERAGE(C22:C26)</f>
        <v>256.85000000000002</v>
      </c>
      <c r="D27" s="8">
        <f>AVERAGE(D22:D26)</f>
        <v>259.04399999999998</v>
      </c>
      <c r="E27" s="8">
        <f t="shared" si="0"/>
        <v>0.99153039638053786</v>
      </c>
    </row>
    <row r="28" spans="1:5">
      <c r="A28" s="108">
        <v>1</v>
      </c>
      <c r="B28" s="1">
        <v>1</v>
      </c>
      <c r="C28" s="3">
        <v>147.91</v>
      </c>
      <c r="D28" s="3">
        <v>160.22999999999999</v>
      </c>
      <c r="E28" s="3">
        <f t="shared" si="0"/>
        <v>0.92311052861511578</v>
      </c>
    </row>
    <row r="29" spans="1:5">
      <c r="A29" s="109"/>
      <c r="B29" s="1">
        <v>2</v>
      </c>
      <c r="C29" s="3">
        <v>63.68</v>
      </c>
      <c r="D29" s="3">
        <v>77.8</v>
      </c>
      <c r="E29" s="3">
        <f t="shared" si="0"/>
        <v>0.81850899742930594</v>
      </c>
    </row>
    <row r="30" spans="1:5">
      <c r="A30" s="109"/>
      <c r="B30" s="1">
        <v>3</v>
      </c>
      <c r="C30" s="3">
        <v>149.12</v>
      </c>
      <c r="D30" s="3">
        <v>168.99</v>
      </c>
      <c r="E30" s="3">
        <f t="shared" si="0"/>
        <v>0.88241907805195574</v>
      </c>
    </row>
    <row r="31" spans="1:5">
      <c r="A31" s="109"/>
      <c r="B31" s="1">
        <v>4</v>
      </c>
      <c r="C31" s="3">
        <v>101.73</v>
      </c>
      <c r="D31" s="3">
        <v>97.37</v>
      </c>
      <c r="E31" s="3">
        <f t="shared" si="0"/>
        <v>1.0447776522542878</v>
      </c>
    </row>
    <row r="32" spans="1:5">
      <c r="A32" s="109"/>
      <c r="B32" s="1">
        <v>5</v>
      </c>
      <c r="C32" s="3">
        <v>108.13</v>
      </c>
      <c r="D32" s="3">
        <v>162.16</v>
      </c>
      <c r="E32" s="3">
        <f t="shared" si="0"/>
        <v>0.66681055747409967</v>
      </c>
    </row>
    <row r="33" spans="1:5">
      <c r="A33" s="118"/>
      <c r="B33" s="68" t="s">
        <v>18</v>
      </c>
      <c r="C33" s="8">
        <f>AVERAGE(C28:C32)</f>
        <v>114.114</v>
      </c>
      <c r="D33" s="8">
        <f>AVERAGE(D28:D32)</f>
        <v>133.31</v>
      </c>
      <c r="E33" s="8">
        <f t="shared" si="0"/>
        <v>0.85600480084014707</v>
      </c>
    </row>
  </sheetData>
  <mergeCells count="7">
    <mergeCell ref="A22:A27"/>
    <mergeCell ref="A28:A33"/>
    <mergeCell ref="A1:B2"/>
    <mergeCell ref="C1:D1"/>
    <mergeCell ref="A4:A9"/>
    <mergeCell ref="A10:A15"/>
    <mergeCell ref="A16:A2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F1D9-721D-5743-B7CE-FE9A44E6D5E4}">
  <dimension ref="A1:AY46"/>
  <sheetViews>
    <sheetView zoomScaleNormal="125" workbookViewId="0">
      <pane xSplit="3" ySplit="3" topLeftCell="AG4" activePane="bottomRight" state="frozen"/>
      <selection pane="topRight" activeCell="D1" sqref="D1"/>
      <selection pane="bottomLeft" activeCell="A4" sqref="A4"/>
      <selection pane="bottomRight" activeCell="BB12" sqref="BB12"/>
    </sheetView>
  </sheetViews>
  <sheetFormatPr baseColWidth="10" defaultRowHeight="16"/>
  <cols>
    <col min="11" max="11" width="13.1640625" style="19" customWidth="1"/>
    <col min="19" max="19" width="12.5" style="19" customWidth="1"/>
    <col min="21" max="21" width="10.83203125" style="19"/>
    <col min="27" max="27" width="13.33203125" style="19" customWidth="1"/>
    <col min="35" max="35" width="12.1640625" style="19" customWidth="1"/>
    <col min="37" max="37" width="10.83203125" customWidth="1"/>
    <col min="38" max="38" width="16.83203125" customWidth="1"/>
    <col min="39" max="39" width="16.33203125" customWidth="1"/>
    <col min="40" max="40" width="16.83203125" customWidth="1"/>
    <col min="41" max="41" width="16.6640625" style="19" customWidth="1"/>
    <col min="42" max="42" width="16" customWidth="1"/>
    <col min="46" max="46" width="13.83203125" customWidth="1"/>
    <col min="47" max="47" width="18.5" customWidth="1"/>
    <col min="48" max="48" width="17.1640625" customWidth="1"/>
    <col min="49" max="49" width="16" customWidth="1"/>
    <col min="50" max="50" width="16.6640625" customWidth="1"/>
    <col min="51" max="51" width="18.5" customWidth="1"/>
  </cols>
  <sheetData>
    <row r="1" spans="1:51" ht="19" customHeight="1">
      <c r="A1" s="98" t="s">
        <v>0</v>
      </c>
      <c r="B1" s="98"/>
      <c r="C1" s="98"/>
      <c r="D1" s="110" t="s">
        <v>37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72"/>
      <c r="T1" s="111" t="s">
        <v>45</v>
      </c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K1" s="127" t="s">
        <v>90</v>
      </c>
      <c r="AL1" s="127"/>
      <c r="AM1" s="127"/>
      <c r="AN1" s="127"/>
      <c r="AO1" s="127"/>
      <c r="AP1" s="127"/>
    </row>
    <row r="2" spans="1:51" ht="19" customHeight="1">
      <c r="A2" s="99"/>
      <c r="B2" s="99"/>
      <c r="C2" s="99"/>
      <c r="D2" s="112" t="s">
        <v>38</v>
      </c>
      <c r="E2" s="113"/>
      <c r="F2" s="113"/>
      <c r="G2" s="113"/>
      <c r="H2" s="113"/>
      <c r="I2" s="113"/>
      <c r="J2" s="113"/>
      <c r="K2" s="114"/>
      <c r="L2" s="112" t="s">
        <v>39</v>
      </c>
      <c r="M2" s="113"/>
      <c r="N2" s="113"/>
      <c r="O2" s="113"/>
      <c r="P2" s="113"/>
      <c r="Q2" s="113"/>
      <c r="R2" s="113"/>
      <c r="S2" s="113"/>
      <c r="T2" s="119" t="s">
        <v>38</v>
      </c>
      <c r="U2" s="119"/>
      <c r="V2" s="119"/>
      <c r="W2" s="119"/>
      <c r="X2" s="119"/>
      <c r="Y2" s="119"/>
      <c r="Z2" s="119"/>
      <c r="AA2" s="119"/>
      <c r="AB2" s="119" t="s">
        <v>39</v>
      </c>
      <c r="AC2" s="119"/>
      <c r="AD2" s="119"/>
      <c r="AE2" s="119"/>
      <c r="AF2" s="119"/>
      <c r="AG2" s="119"/>
      <c r="AH2" s="119"/>
      <c r="AI2" s="119"/>
      <c r="AK2" s="127"/>
      <c r="AL2" s="127"/>
      <c r="AM2" s="127"/>
      <c r="AN2" s="127"/>
      <c r="AO2" s="127"/>
      <c r="AP2" s="127"/>
      <c r="AS2" s="120" t="s">
        <v>70</v>
      </c>
      <c r="AT2" s="119" t="s">
        <v>90</v>
      </c>
      <c r="AU2" s="119"/>
      <c r="AV2" s="119"/>
      <c r="AW2" s="119"/>
      <c r="AX2" s="119"/>
      <c r="AY2" s="119"/>
    </row>
    <row r="3" spans="1:51" ht="21" customHeight="1">
      <c r="A3" s="6" t="s">
        <v>7</v>
      </c>
      <c r="B3" s="7" t="s">
        <v>1</v>
      </c>
      <c r="C3" s="40" t="s">
        <v>2</v>
      </c>
      <c r="D3" s="6" t="s">
        <v>63</v>
      </c>
      <c r="E3" s="6" t="s">
        <v>59</v>
      </c>
      <c r="F3" s="6" t="s">
        <v>57</v>
      </c>
      <c r="G3" s="6" t="s">
        <v>58</v>
      </c>
      <c r="H3" s="6" t="s">
        <v>61</v>
      </c>
      <c r="I3" s="7" t="s">
        <v>62</v>
      </c>
      <c r="J3" s="7" t="s">
        <v>60</v>
      </c>
      <c r="K3" s="6" t="s">
        <v>71</v>
      </c>
      <c r="L3" s="6" t="s">
        <v>63</v>
      </c>
      <c r="M3" s="6" t="s">
        <v>59</v>
      </c>
      <c r="N3" s="6" t="s">
        <v>57</v>
      </c>
      <c r="O3" s="6" t="s">
        <v>58</v>
      </c>
      <c r="P3" s="6" t="s">
        <v>61</v>
      </c>
      <c r="Q3" s="7" t="s">
        <v>62</v>
      </c>
      <c r="R3" s="7" t="s">
        <v>60</v>
      </c>
      <c r="S3" s="6" t="s">
        <v>71</v>
      </c>
      <c r="T3" s="6" t="s">
        <v>63</v>
      </c>
      <c r="U3" s="6" t="s">
        <v>59</v>
      </c>
      <c r="V3" s="6" t="s">
        <v>57</v>
      </c>
      <c r="W3" s="6" t="s">
        <v>58</v>
      </c>
      <c r="X3" s="6" t="s">
        <v>61</v>
      </c>
      <c r="Y3" s="7" t="s">
        <v>62</v>
      </c>
      <c r="Z3" s="7" t="s">
        <v>60</v>
      </c>
      <c r="AA3" s="6" t="s">
        <v>71</v>
      </c>
      <c r="AB3" s="6" t="s">
        <v>63</v>
      </c>
      <c r="AC3" s="6" t="s">
        <v>59</v>
      </c>
      <c r="AD3" s="6" t="s">
        <v>57</v>
      </c>
      <c r="AE3" s="6" t="s">
        <v>58</v>
      </c>
      <c r="AF3" s="6" t="s">
        <v>61</v>
      </c>
      <c r="AG3" s="7" t="s">
        <v>62</v>
      </c>
      <c r="AH3" s="7" t="s">
        <v>60</v>
      </c>
      <c r="AI3" s="6" t="s">
        <v>71</v>
      </c>
      <c r="AK3" s="6" t="s">
        <v>64</v>
      </c>
      <c r="AL3" s="6" t="s">
        <v>65</v>
      </c>
      <c r="AM3" s="6" t="s">
        <v>67</v>
      </c>
      <c r="AN3" s="6" t="s">
        <v>66</v>
      </c>
      <c r="AO3" s="6" t="s">
        <v>68</v>
      </c>
      <c r="AP3" s="6" t="s">
        <v>69</v>
      </c>
      <c r="AS3" s="120"/>
      <c r="AT3" s="6" t="s">
        <v>64</v>
      </c>
      <c r="AU3" s="6" t="s">
        <v>65</v>
      </c>
      <c r="AV3" s="6" t="s">
        <v>67</v>
      </c>
      <c r="AW3" s="6" t="s">
        <v>66</v>
      </c>
      <c r="AX3" s="6" t="s">
        <v>68</v>
      </c>
      <c r="AY3" s="6" t="s">
        <v>69</v>
      </c>
    </row>
    <row r="4" spans="1:51">
      <c r="A4" s="108" t="s">
        <v>8</v>
      </c>
      <c r="B4" s="105">
        <v>5</v>
      </c>
      <c r="C4" s="104">
        <v>2</v>
      </c>
      <c r="D4" s="3">
        <v>0</v>
      </c>
      <c r="E4" s="21">
        <v>0.22</v>
      </c>
      <c r="F4" s="21">
        <v>0.06</v>
      </c>
      <c r="G4" s="21">
        <v>0.16</v>
      </c>
      <c r="H4" s="21">
        <v>0</v>
      </c>
      <c r="I4" s="1">
        <v>16</v>
      </c>
      <c r="J4" s="1">
        <v>32</v>
      </c>
      <c r="K4" s="3">
        <f>(G4/E4)*100</f>
        <v>72.727272727272734</v>
      </c>
      <c r="L4" s="21">
        <v>0</v>
      </c>
      <c r="M4" s="21">
        <v>0.1</v>
      </c>
      <c r="N4" s="21">
        <v>0.03</v>
      </c>
      <c r="O4" s="21">
        <v>7.0000000000000007E-2</v>
      </c>
      <c r="P4" s="21">
        <v>0</v>
      </c>
      <c r="Q4" s="1">
        <v>15</v>
      </c>
      <c r="R4" s="1">
        <v>30</v>
      </c>
      <c r="S4" s="73">
        <f>O4/M4*100</f>
        <v>70</v>
      </c>
      <c r="T4" s="3">
        <v>0</v>
      </c>
      <c r="U4" s="3">
        <v>0.05</v>
      </c>
      <c r="V4" s="3">
        <v>0.05</v>
      </c>
      <c r="W4" s="3">
        <v>0</v>
      </c>
      <c r="X4" s="3">
        <v>0</v>
      </c>
      <c r="Y4" s="1">
        <v>16</v>
      </c>
      <c r="Z4" s="1">
        <v>32</v>
      </c>
      <c r="AA4" s="3">
        <f>W4/U4*100</f>
        <v>0</v>
      </c>
      <c r="AB4" s="3">
        <v>0</v>
      </c>
      <c r="AC4" s="3">
        <v>7.0000000000000007E-2</v>
      </c>
      <c r="AD4" s="3">
        <v>7.0000000000000007E-2</v>
      </c>
      <c r="AE4" s="3">
        <v>0</v>
      </c>
      <c r="AF4" s="3">
        <v>0</v>
      </c>
      <c r="AG4" s="1">
        <v>16</v>
      </c>
      <c r="AH4" s="1">
        <v>32</v>
      </c>
      <c r="AI4" s="3">
        <f>AE4/AC4*100</f>
        <v>0</v>
      </c>
      <c r="AK4" s="1">
        <v>4</v>
      </c>
      <c r="AL4" s="1">
        <v>338</v>
      </c>
      <c r="AM4" s="1">
        <v>239</v>
      </c>
      <c r="AN4" s="1">
        <v>99</v>
      </c>
      <c r="AO4" s="3">
        <v>29.29</v>
      </c>
      <c r="AP4" s="1">
        <v>1</v>
      </c>
      <c r="AS4" s="105">
        <v>5</v>
      </c>
      <c r="AT4" s="1">
        <v>4</v>
      </c>
      <c r="AU4" s="1">
        <v>338</v>
      </c>
      <c r="AV4" s="1">
        <v>239</v>
      </c>
      <c r="AW4" s="1">
        <v>99</v>
      </c>
      <c r="AX4" s="3">
        <v>29.29</v>
      </c>
      <c r="AY4" s="1">
        <v>1</v>
      </c>
    </row>
    <row r="5" spans="1:51">
      <c r="A5" s="109"/>
      <c r="B5" s="100"/>
      <c r="C5" s="102"/>
      <c r="D5" s="3">
        <v>0</v>
      </c>
      <c r="E5" s="21">
        <v>0.13</v>
      </c>
      <c r="F5" s="21">
        <v>0.02</v>
      </c>
      <c r="G5" s="21">
        <v>0.11</v>
      </c>
      <c r="H5" s="21">
        <v>0</v>
      </c>
      <c r="I5" s="1">
        <v>19</v>
      </c>
      <c r="J5" s="1">
        <v>38</v>
      </c>
      <c r="K5" s="3">
        <f t="shared" ref="K5:K45" si="0">(G5/E5)*100</f>
        <v>84.615384615384613</v>
      </c>
      <c r="L5" s="21">
        <v>0</v>
      </c>
      <c r="M5" s="21">
        <v>0.11</v>
      </c>
      <c r="N5" s="21">
        <v>0.04</v>
      </c>
      <c r="O5" s="21">
        <v>7.0000000000000007E-2</v>
      </c>
      <c r="P5" s="21">
        <v>0</v>
      </c>
      <c r="Q5" s="1">
        <v>15</v>
      </c>
      <c r="R5" s="1">
        <v>30</v>
      </c>
      <c r="S5" s="73">
        <f t="shared" ref="S5:S45" si="1">O5/M5*100</f>
        <v>63.636363636363647</v>
      </c>
      <c r="T5" s="3">
        <v>0</v>
      </c>
      <c r="U5" s="3">
        <v>0.03</v>
      </c>
      <c r="V5" s="3">
        <v>0.02</v>
      </c>
      <c r="W5" s="3">
        <v>0</v>
      </c>
      <c r="X5" s="3">
        <v>0</v>
      </c>
      <c r="Y5" s="1">
        <v>19</v>
      </c>
      <c r="Z5" s="1">
        <v>38</v>
      </c>
      <c r="AA5" s="3">
        <f t="shared" ref="AA5:AA45" si="2">W5/U5*100</f>
        <v>0</v>
      </c>
      <c r="AB5" s="3">
        <v>0</v>
      </c>
      <c r="AC5" s="3">
        <v>0.06</v>
      </c>
      <c r="AD5" s="3">
        <v>0.06</v>
      </c>
      <c r="AE5" s="3">
        <v>0</v>
      </c>
      <c r="AF5" s="3">
        <v>0</v>
      </c>
      <c r="AG5" s="1">
        <v>16</v>
      </c>
      <c r="AH5" s="1">
        <v>32</v>
      </c>
      <c r="AI5" s="3">
        <f t="shared" ref="AI5:AI45" si="3">AE5/AC5*100</f>
        <v>0</v>
      </c>
      <c r="AK5" s="1">
        <v>4</v>
      </c>
      <c r="AL5" s="1">
        <v>438</v>
      </c>
      <c r="AM5" s="1">
        <v>318</v>
      </c>
      <c r="AN5" s="1">
        <v>120</v>
      </c>
      <c r="AO5" s="3">
        <v>27.4</v>
      </c>
      <c r="AP5" s="1">
        <v>1</v>
      </c>
      <c r="AS5" s="100"/>
      <c r="AT5" s="1">
        <v>4</v>
      </c>
      <c r="AU5" s="1">
        <v>438</v>
      </c>
      <c r="AV5" s="1">
        <v>318</v>
      </c>
      <c r="AW5" s="1">
        <v>120</v>
      </c>
      <c r="AX5" s="3">
        <v>27.4</v>
      </c>
      <c r="AY5" s="1">
        <v>1</v>
      </c>
    </row>
    <row r="6" spans="1:51">
      <c r="A6" s="109"/>
      <c r="B6" s="100"/>
      <c r="C6" s="104">
        <v>3</v>
      </c>
      <c r="D6" s="32">
        <v>0</v>
      </c>
      <c r="E6" s="32">
        <v>0.13</v>
      </c>
      <c r="F6" s="32">
        <v>0.05</v>
      </c>
      <c r="G6" s="32">
        <v>0.08</v>
      </c>
      <c r="H6" s="32">
        <v>0</v>
      </c>
      <c r="I6" s="4">
        <v>22</v>
      </c>
      <c r="J6" s="4">
        <v>66</v>
      </c>
      <c r="K6" s="5">
        <f t="shared" si="0"/>
        <v>61.53846153846154</v>
      </c>
      <c r="L6" s="32">
        <v>0</v>
      </c>
      <c r="M6" s="32">
        <v>0.1</v>
      </c>
      <c r="N6" s="32">
        <v>0.03</v>
      </c>
      <c r="O6" s="32">
        <v>7.0000000000000007E-2</v>
      </c>
      <c r="P6" s="32">
        <v>0</v>
      </c>
      <c r="Q6" s="4">
        <v>18</v>
      </c>
      <c r="R6" s="4">
        <v>54</v>
      </c>
      <c r="S6" s="74">
        <f t="shared" si="1"/>
        <v>70</v>
      </c>
      <c r="T6" s="5">
        <v>0</v>
      </c>
      <c r="U6" s="5">
        <v>0.05</v>
      </c>
      <c r="V6" s="5">
        <v>0.05</v>
      </c>
      <c r="W6" s="5">
        <v>0</v>
      </c>
      <c r="X6" s="5">
        <v>0</v>
      </c>
      <c r="Y6" s="4">
        <v>23</v>
      </c>
      <c r="Z6" s="4">
        <v>69</v>
      </c>
      <c r="AA6" s="5">
        <f t="shared" si="2"/>
        <v>0</v>
      </c>
      <c r="AB6" s="5">
        <v>0</v>
      </c>
      <c r="AC6" s="5">
        <v>0.04</v>
      </c>
      <c r="AD6" s="5">
        <v>0.04</v>
      </c>
      <c r="AE6" s="5">
        <v>0</v>
      </c>
      <c r="AF6" s="5">
        <v>0</v>
      </c>
      <c r="AG6" s="4">
        <v>18</v>
      </c>
      <c r="AH6" s="4">
        <v>54</v>
      </c>
      <c r="AI6" s="5">
        <f t="shared" si="3"/>
        <v>0</v>
      </c>
      <c r="AK6" s="4">
        <v>3</v>
      </c>
      <c r="AL6" s="4">
        <v>218</v>
      </c>
      <c r="AM6" s="4">
        <v>161</v>
      </c>
      <c r="AN6" s="4">
        <v>57</v>
      </c>
      <c r="AO6" s="5">
        <v>26.15</v>
      </c>
      <c r="AP6" s="4">
        <v>1</v>
      </c>
      <c r="AS6" s="100"/>
      <c r="AT6" s="4">
        <v>3</v>
      </c>
      <c r="AU6" s="4">
        <v>218</v>
      </c>
      <c r="AV6" s="4">
        <v>161</v>
      </c>
      <c r="AW6" s="4">
        <v>57</v>
      </c>
      <c r="AX6" s="5">
        <v>26.15</v>
      </c>
      <c r="AY6" s="4">
        <v>1</v>
      </c>
    </row>
    <row r="7" spans="1:51">
      <c r="A7" s="109"/>
      <c r="B7" s="100"/>
      <c r="C7" s="102"/>
      <c r="D7" s="32">
        <v>0</v>
      </c>
      <c r="E7" s="32">
        <v>0.12</v>
      </c>
      <c r="F7" s="32">
        <v>0.04</v>
      </c>
      <c r="G7" s="32">
        <v>0.08</v>
      </c>
      <c r="H7" s="32">
        <v>0</v>
      </c>
      <c r="I7" s="4">
        <v>19</v>
      </c>
      <c r="J7" s="4">
        <v>57</v>
      </c>
      <c r="K7" s="5">
        <f t="shared" si="0"/>
        <v>66.666666666666671</v>
      </c>
      <c r="L7" s="32">
        <v>0</v>
      </c>
      <c r="M7" s="32">
        <v>0.12</v>
      </c>
      <c r="N7" s="32">
        <v>0.02</v>
      </c>
      <c r="O7" s="32">
        <v>0.09</v>
      </c>
      <c r="P7" s="32">
        <v>0.09</v>
      </c>
      <c r="Q7" s="4">
        <v>20</v>
      </c>
      <c r="R7" s="4">
        <v>60</v>
      </c>
      <c r="S7" s="74">
        <f t="shared" si="1"/>
        <v>75</v>
      </c>
      <c r="T7" s="5">
        <v>0</v>
      </c>
      <c r="U7" s="5">
        <v>0.06</v>
      </c>
      <c r="V7" s="5">
        <v>0.06</v>
      </c>
      <c r="W7" s="5">
        <v>0</v>
      </c>
      <c r="X7" s="5">
        <v>0</v>
      </c>
      <c r="Y7" s="4">
        <v>20</v>
      </c>
      <c r="Z7" s="4">
        <v>60</v>
      </c>
      <c r="AA7" s="5">
        <f t="shared" si="2"/>
        <v>0</v>
      </c>
      <c r="AB7" s="5">
        <v>0</v>
      </c>
      <c r="AC7" s="5">
        <v>0.03</v>
      </c>
      <c r="AD7" s="5">
        <v>0.03</v>
      </c>
      <c r="AE7" s="5">
        <v>0</v>
      </c>
      <c r="AF7" s="5">
        <v>0</v>
      </c>
      <c r="AG7" s="4">
        <v>20</v>
      </c>
      <c r="AH7" s="4">
        <v>60</v>
      </c>
      <c r="AI7" s="5">
        <f t="shared" si="3"/>
        <v>0</v>
      </c>
      <c r="AK7" s="4">
        <v>3</v>
      </c>
      <c r="AL7" s="4">
        <v>260</v>
      </c>
      <c r="AM7" s="4">
        <v>191</v>
      </c>
      <c r="AN7" s="4">
        <v>69</v>
      </c>
      <c r="AO7" s="5">
        <v>26.54</v>
      </c>
      <c r="AP7" s="4">
        <v>1</v>
      </c>
      <c r="AS7" s="100"/>
      <c r="AT7" s="4">
        <v>3</v>
      </c>
      <c r="AU7" s="4">
        <v>260</v>
      </c>
      <c r="AV7" s="4">
        <v>191</v>
      </c>
      <c r="AW7" s="4">
        <v>69</v>
      </c>
      <c r="AX7" s="5">
        <v>26.54</v>
      </c>
      <c r="AY7" s="4">
        <v>1</v>
      </c>
    </row>
    <row r="8" spans="1:51">
      <c r="A8" s="109"/>
      <c r="B8" s="101"/>
      <c r="C8" s="41"/>
      <c r="D8" s="8">
        <f t="shared" ref="D8:AI8" si="4">AVERAGE(D4:D7)</f>
        <v>0</v>
      </c>
      <c r="E8" s="8">
        <f t="shared" si="4"/>
        <v>0.15</v>
      </c>
      <c r="F8" s="8">
        <f t="shared" si="4"/>
        <v>4.2500000000000003E-2</v>
      </c>
      <c r="G8" s="8">
        <f t="shared" si="4"/>
        <v>0.10750000000000001</v>
      </c>
      <c r="H8" s="8">
        <f t="shared" si="4"/>
        <v>0</v>
      </c>
      <c r="I8" s="68">
        <f t="shared" si="4"/>
        <v>19</v>
      </c>
      <c r="J8" s="68">
        <f t="shared" si="4"/>
        <v>48.25</v>
      </c>
      <c r="K8" s="8">
        <f t="shared" si="4"/>
        <v>71.386946386946391</v>
      </c>
      <c r="L8" s="8">
        <f t="shared" si="4"/>
        <v>0</v>
      </c>
      <c r="M8" s="8">
        <f t="shared" si="4"/>
        <v>0.10750000000000001</v>
      </c>
      <c r="N8" s="8">
        <f t="shared" si="4"/>
        <v>3.0000000000000002E-2</v>
      </c>
      <c r="O8" s="8">
        <f t="shared" si="4"/>
        <v>7.5000000000000011E-2</v>
      </c>
      <c r="P8" s="8">
        <f t="shared" si="4"/>
        <v>2.2499999999999999E-2</v>
      </c>
      <c r="Q8" s="68">
        <f t="shared" si="4"/>
        <v>17</v>
      </c>
      <c r="R8" s="68">
        <f t="shared" si="4"/>
        <v>43.5</v>
      </c>
      <c r="S8" s="75">
        <f t="shared" si="4"/>
        <v>69.659090909090907</v>
      </c>
      <c r="T8" s="8">
        <f t="shared" si="4"/>
        <v>0</v>
      </c>
      <c r="U8" s="8">
        <f t="shared" si="4"/>
        <v>4.7500000000000001E-2</v>
      </c>
      <c r="V8" s="8">
        <f t="shared" si="4"/>
        <v>4.4999999999999998E-2</v>
      </c>
      <c r="W8" s="8">
        <f t="shared" si="4"/>
        <v>0</v>
      </c>
      <c r="X8" s="8">
        <f t="shared" si="4"/>
        <v>0</v>
      </c>
      <c r="Y8" s="68">
        <f t="shared" si="4"/>
        <v>19.5</v>
      </c>
      <c r="Z8" s="68">
        <f t="shared" si="4"/>
        <v>49.75</v>
      </c>
      <c r="AA8" s="8">
        <f t="shared" si="4"/>
        <v>0</v>
      </c>
      <c r="AB8" s="8">
        <f t="shared" si="4"/>
        <v>0</v>
      </c>
      <c r="AC8" s="8">
        <f t="shared" si="4"/>
        <v>0.05</v>
      </c>
      <c r="AD8" s="8">
        <f t="shared" si="4"/>
        <v>0.05</v>
      </c>
      <c r="AE8" s="8">
        <f t="shared" si="4"/>
        <v>0</v>
      </c>
      <c r="AF8" s="8">
        <f t="shared" si="4"/>
        <v>0</v>
      </c>
      <c r="AG8" s="68">
        <f t="shared" si="4"/>
        <v>17.5</v>
      </c>
      <c r="AH8" s="68">
        <f t="shared" si="4"/>
        <v>44.5</v>
      </c>
      <c r="AI8" s="8">
        <f t="shared" si="4"/>
        <v>0</v>
      </c>
      <c r="AK8" s="68"/>
      <c r="AL8" s="68"/>
      <c r="AM8" s="68"/>
      <c r="AN8" s="68"/>
      <c r="AO8" s="8"/>
      <c r="AP8" s="68"/>
      <c r="AS8" s="100"/>
      <c r="AT8" s="1">
        <v>4</v>
      </c>
      <c r="AU8" s="1">
        <v>406</v>
      </c>
      <c r="AV8" s="1">
        <v>302</v>
      </c>
      <c r="AW8" s="1">
        <v>104</v>
      </c>
      <c r="AX8" s="3">
        <v>25.62</v>
      </c>
      <c r="AY8" s="1">
        <v>1</v>
      </c>
    </row>
    <row r="9" spans="1:51">
      <c r="A9" s="109"/>
      <c r="B9" s="105">
        <v>10</v>
      </c>
      <c r="C9" s="104">
        <v>3</v>
      </c>
      <c r="D9" s="3">
        <v>0</v>
      </c>
      <c r="E9" s="3">
        <v>11.05</v>
      </c>
      <c r="F9" s="3">
        <v>0.16</v>
      </c>
      <c r="G9" s="3">
        <v>10.89</v>
      </c>
      <c r="H9" s="3">
        <v>0.01</v>
      </c>
      <c r="I9" s="1">
        <v>236</v>
      </c>
      <c r="J9" s="1">
        <v>708</v>
      </c>
      <c r="K9" s="3">
        <f t="shared" si="0"/>
        <v>98.552036199095014</v>
      </c>
      <c r="L9" s="3">
        <v>0</v>
      </c>
      <c r="M9" s="3">
        <v>8.56</v>
      </c>
      <c r="N9" s="3">
        <v>0.16</v>
      </c>
      <c r="O9" s="3">
        <v>8.39</v>
      </c>
      <c r="P9" s="3">
        <v>0.01</v>
      </c>
      <c r="Q9" s="1">
        <v>209</v>
      </c>
      <c r="R9" s="1">
        <v>627</v>
      </c>
      <c r="S9" s="73">
        <f t="shared" si="1"/>
        <v>98.014018691588788</v>
      </c>
      <c r="T9" s="3">
        <v>0</v>
      </c>
      <c r="U9" s="3">
        <v>0.36</v>
      </c>
      <c r="V9" s="3">
        <v>0.26</v>
      </c>
      <c r="W9" s="3">
        <v>0.09</v>
      </c>
      <c r="X9" s="3">
        <v>0.01</v>
      </c>
      <c r="Y9" s="1">
        <v>247</v>
      </c>
      <c r="Z9" s="1">
        <v>741</v>
      </c>
      <c r="AA9" s="3">
        <f t="shared" si="2"/>
        <v>25</v>
      </c>
      <c r="AB9" s="3">
        <v>0</v>
      </c>
      <c r="AC9" s="3">
        <v>0.34</v>
      </c>
      <c r="AD9" s="3">
        <v>0.26</v>
      </c>
      <c r="AE9" s="3">
        <v>7.0000000000000007E-2</v>
      </c>
      <c r="AF9" s="3">
        <v>0.01</v>
      </c>
      <c r="AG9" s="1">
        <v>239</v>
      </c>
      <c r="AH9" s="1">
        <v>717</v>
      </c>
      <c r="AI9" s="3">
        <f t="shared" si="3"/>
        <v>20.588235294117649</v>
      </c>
      <c r="AK9" s="1">
        <v>8</v>
      </c>
      <c r="AL9" s="1">
        <v>56075</v>
      </c>
      <c r="AM9" s="1">
        <v>48611</v>
      </c>
      <c r="AN9" s="1">
        <v>7464</v>
      </c>
      <c r="AO9" s="3">
        <v>13.31</v>
      </c>
      <c r="AP9" s="1">
        <v>2</v>
      </c>
      <c r="AS9" s="100"/>
      <c r="AT9" s="1">
        <v>4</v>
      </c>
      <c r="AU9" s="1">
        <v>333</v>
      </c>
      <c r="AV9" s="1">
        <v>238</v>
      </c>
      <c r="AW9" s="1">
        <v>95</v>
      </c>
      <c r="AX9" s="3">
        <v>28.53</v>
      </c>
      <c r="AY9" s="1">
        <v>1</v>
      </c>
    </row>
    <row r="10" spans="1:51">
      <c r="A10" s="109"/>
      <c r="B10" s="100"/>
      <c r="C10" s="102"/>
      <c r="D10" s="3">
        <v>0</v>
      </c>
      <c r="E10" s="3">
        <v>9.35</v>
      </c>
      <c r="F10" s="3">
        <v>0.1</v>
      </c>
      <c r="G10" s="3">
        <v>9.24</v>
      </c>
      <c r="H10" s="3">
        <v>0.01</v>
      </c>
      <c r="I10" s="1">
        <v>206</v>
      </c>
      <c r="J10" s="1">
        <v>618</v>
      </c>
      <c r="K10" s="3">
        <f t="shared" si="0"/>
        <v>98.82352941176471</v>
      </c>
      <c r="L10" s="3">
        <v>0</v>
      </c>
      <c r="M10" s="3">
        <v>9.6</v>
      </c>
      <c r="N10" s="3">
        <v>0.14000000000000001</v>
      </c>
      <c r="O10" s="3">
        <v>9.4499999999999993</v>
      </c>
      <c r="P10" s="3">
        <v>0.01</v>
      </c>
      <c r="Q10" s="1">
        <v>181</v>
      </c>
      <c r="R10" s="1">
        <v>543</v>
      </c>
      <c r="S10" s="73">
        <f t="shared" si="1"/>
        <v>98.4375</v>
      </c>
      <c r="T10" s="3">
        <v>0</v>
      </c>
      <c r="U10" s="3">
        <v>0.33</v>
      </c>
      <c r="V10" s="3">
        <v>0.23</v>
      </c>
      <c r="W10" s="3">
        <v>0.1</v>
      </c>
      <c r="X10" s="3">
        <v>0</v>
      </c>
      <c r="Y10" s="1">
        <v>222</v>
      </c>
      <c r="Z10" s="1">
        <v>666</v>
      </c>
      <c r="AA10" s="3">
        <f t="shared" si="2"/>
        <v>30.303030303030305</v>
      </c>
      <c r="AB10" s="3">
        <v>0</v>
      </c>
      <c r="AC10" s="3">
        <v>0.28000000000000003</v>
      </c>
      <c r="AD10" s="3">
        <v>0.2</v>
      </c>
      <c r="AE10" s="3">
        <v>7.0000000000000007E-2</v>
      </c>
      <c r="AF10" s="3">
        <v>0.01</v>
      </c>
      <c r="AG10" s="1">
        <v>206</v>
      </c>
      <c r="AH10" s="1">
        <v>618</v>
      </c>
      <c r="AI10" s="3">
        <f t="shared" si="3"/>
        <v>25</v>
      </c>
      <c r="AK10" s="1">
        <v>8</v>
      </c>
      <c r="AL10" s="1">
        <v>47380</v>
      </c>
      <c r="AM10" s="1">
        <v>40589</v>
      </c>
      <c r="AN10" s="1">
        <v>6791</v>
      </c>
      <c r="AO10" s="3">
        <v>14.33</v>
      </c>
      <c r="AP10" s="1">
        <v>3</v>
      </c>
      <c r="AS10" s="100"/>
      <c r="AT10" s="4">
        <v>3</v>
      </c>
      <c r="AU10" s="4">
        <v>218</v>
      </c>
      <c r="AV10" s="4">
        <v>161</v>
      </c>
      <c r="AW10" s="4">
        <v>57</v>
      </c>
      <c r="AX10" s="5">
        <v>26.15</v>
      </c>
      <c r="AY10" s="4">
        <v>1</v>
      </c>
    </row>
    <row r="11" spans="1:51">
      <c r="A11" s="109"/>
      <c r="B11" s="100"/>
      <c r="C11" s="104">
        <v>4</v>
      </c>
      <c r="D11" s="32">
        <v>0</v>
      </c>
      <c r="E11" s="32">
        <v>7.83</v>
      </c>
      <c r="F11" s="32">
        <v>0.2</v>
      </c>
      <c r="G11" s="32">
        <v>7.62</v>
      </c>
      <c r="H11" s="32">
        <v>0.01</v>
      </c>
      <c r="I11" s="4">
        <v>185</v>
      </c>
      <c r="J11" s="4">
        <v>740</v>
      </c>
      <c r="K11" s="5">
        <f t="shared" si="0"/>
        <v>97.318007662835242</v>
      </c>
      <c r="L11" s="32">
        <v>0</v>
      </c>
      <c r="M11" s="32">
        <v>4.21</v>
      </c>
      <c r="N11" s="32">
        <v>0.15</v>
      </c>
      <c r="O11" s="32">
        <v>4.05</v>
      </c>
      <c r="P11" s="32">
        <v>0.01</v>
      </c>
      <c r="Q11" s="4">
        <v>146</v>
      </c>
      <c r="R11" s="4">
        <v>584</v>
      </c>
      <c r="S11" s="74">
        <f t="shared" si="1"/>
        <v>96.199524940617579</v>
      </c>
      <c r="T11" s="5">
        <v>0</v>
      </c>
      <c r="U11" s="5">
        <v>0.62</v>
      </c>
      <c r="V11" s="5">
        <v>0.56000000000000005</v>
      </c>
      <c r="W11" s="5">
        <v>0.06</v>
      </c>
      <c r="X11" s="5">
        <v>0</v>
      </c>
      <c r="Y11" s="4">
        <v>189</v>
      </c>
      <c r="Z11" s="4">
        <v>756</v>
      </c>
      <c r="AA11" s="5">
        <f t="shared" si="2"/>
        <v>9.67741935483871</v>
      </c>
      <c r="AB11" s="5">
        <v>0</v>
      </c>
      <c r="AC11" s="5">
        <v>0.22</v>
      </c>
      <c r="AD11" s="5">
        <v>0.19</v>
      </c>
      <c r="AE11" s="5">
        <v>0.03</v>
      </c>
      <c r="AF11" s="5">
        <v>0.01</v>
      </c>
      <c r="AG11" s="4">
        <v>141</v>
      </c>
      <c r="AH11" s="4">
        <v>564</v>
      </c>
      <c r="AI11" s="5">
        <f t="shared" si="3"/>
        <v>13.636363636363635</v>
      </c>
      <c r="AK11" s="4">
        <v>7</v>
      </c>
      <c r="AL11" s="4">
        <v>21568</v>
      </c>
      <c r="AM11" s="4">
        <v>17724</v>
      </c>
      <c r="AN11" s="4">
        <v>3844</v>
      </c>
      <c r="AO11" s="5">
        <v>17.82</v>
      </c>
      <c r="AP11" s="4">
        <v>3</v>
      </c>
      <c r="AS11" s="101"/>
      <c r="AT11" s="4">
        <v>3</v>
      </c>
      <c r="AU11" s="4">
        <v>209</v>
      </c>
      <c r="AV11" s="4">
        <v>157</v>
      </c>
      <c r="AW11" s="4">
        <v>52</v>
      </c>
      <c r="AX11" s="5">
        <v>24.88</v>
      </c>
      <c r="AY11" s="4">
        <v>1</v>
      </c>
    </row>
    <row r="12" spans="1:51">
      <c r="A12" s="109"/>
      <c r="B12" s="100"/>
      <c r="C12" s="102"/>
      <c r="D12" s="32">
        <v>0</v>
      </c>
      <c r="E12" s="32">
        <v>7.63</v>
      </c>
      <c r="F12" s="32">
        <v>1.0900000000000001</v>
      </c>
      <c r="G12" s="32">
        <v>6.54</v>
      </c>
      <c r="H12" s="32">
        <v>0.01</v>
      </c>
      <c r="I12" s="4">
        <v>243</v>
      </c>
      <c r="J12" s="4">
        <v>972</v>
      </c>
      <c r="K12" s="5">
        <f t="shared" si="0"/>
        <v>85.714285714285722</v>
      </c>
      <c r="L12" s="32">
        <v>0</v>
      </c>
      <c r="M12" s="32">
        <v>10.130000000000001</v>
      </c>
      <c r="N12" s="32">
        <v>1.65</v>
      </c>
      <c r="O12" s="32">
        <v>8.4700000000000006</v>
      </c>
      <c r="P12" s="32">
        <v>0.01</v>
      </c>
      <c r="Q12" s="4">
        <v>234</v>
      </c>
      <c r="R12" s="4">
        <v>936</v>
      </c>
      <c r="S12" s="74">
        <f t="shared" si="1"/>
        <v>83.613030602171762</v>
      </c>
      <c r="T12" s="5">
        <v>0</v>
      </c>
      <c r="U12" s="5">
        <v>0.37</v>
      </c>
      <c r="V12" s="5">
        <v>0.32</v>
      </c>
      <c r="W12" s="5">
        <v>0.05</v>
      </c>
      <c r="X12" s="5">
        <v>0.01</v>
      </c>
      <c r="Y12" s="4">
        <v>229</v>
      </c>
      <c r="Z12" s="70">
        <v>916</v>
      </c>
      <c r="AA12" s="5">
        <f t="shared" si="2"/>
        <v>13.513513513513514</v>
      </c>
      <c r="AB12" s="5">
        <v>0</v>
      </c>
      <c r="AC12" s="5">
        <v>0.31</v>
      </c>
      <c r="AD12" s="5">
        <v>0.25</v>
      </c>
      <c r="AE12" s="5">
        <v>0.05</v>
      </c>
      <c r="AF12" s="5">
        <v>0.01</v>
      </c>
      <c r="AG12" s="4">
        <v>204</v>
      </c>
      <c r="AH12" s="4">
        <v>816</v>
      </c>
      <c r="AI12" s="5">
        <f t="shared" si="3"/>
        <v>16.12903225806452</v>
      </c>
      <c r="AK12" s="4">
        <v>7</v>
      </c>
      <c r="AL12" s="4">
        <v>32773</v>
      </c>
      <c r="AM12" s="4">
        <v>27797</v>
      </c>
      <c r="AN12" s="4">
        <v>4976</v>
      </c>
      <c r="AO12" s="5">
        <v>15.18</v>
      </c>
      <c r="AP12" s="4">
        <v>3</v>
      </c>
      <c r="AS12" s="68"/>
      <c r="AT12" s="42">
        <f t="shared" ref="AT12:AY12" si="5">AVERAGE(AT4:AT11)</f>
        <v>3.5</v>
      </c>
      <c r="AU12" s="42">
        <f t="shared" si="5"/>
        <v>302.5</v>
      </c>
      <c r="AV12" s="42">
        <f t="shared" si="5"/>
        <v>220.875</v>
      </c>
      <c r="AW12" s="42">
        <f t="shared" si="5"/>
        <v>81.625</v>
      </c>
      <c r="AX12" s="8">
        <f t="shared" si="5"/>
        <v>26.82</v>
      </c>
      <c r="AY12" s="42">
        <f t="shared" si="5"/>
        <v>1</v>
      </c>
    </row>
    <row r="13" spans="1:51">
      <c r="A13" s="109"/>
      <c r="B13" s="100"/>
      <c r="C13" s="41"/>
      <c r="D13" s="38">
        <f t="shared" ref="D13:AI13" si="6">AVERAGE(D9:D12)</f>
        <v>0</v>
      </c>
      <c r="E13" s="38">
        <f t="shared" si="6"/>
        <v>8.9649999999999999</v>
      </c>
      <c r="F13" s="38">
        <f t="shared" si="6"/>
        <v>0.38750000000000001</v>
      </c>
      <c r="G13" s="38">
        <f t="shared" si="6"/>
        <v>8.5725000000000016</v>
      </c>
      <c r="H13" s="38">
        <f t="shared" si="6"/>
        <v>0.01</v>
      </c>
      <c r="I13" s="69">
        <f t="shared" si="6"/>
        <v>217.5</v>
      </c>
      <c r="J13" s="69">
        <f t="shared" si="6"/>
        <v>759.5</v>
      </c>
      <c r="K13" s="8">
        <f t="shared" si="6"/>
        <v>95.101964746995165</v>
      </c>
      <c r="L13" s="38">
        <f t="shared" si="6"/>
        <v>0</v>
      </c>
      <c r="M13" s="38">
        <f t="shared" si="6"/>
        <v>8.125</v>
      </c>
      <c r="N13" s="38">
        <f t="shared" si="6"/>
        <v>0.52500000000000002</v>
      </c>
      <c r="O13" s="38">
        <f t="shared" si="6"/>
        <v>7.59</v>
      </c>
      <c r="P13" s="38">
        <f t="shared" si="6"/>
        <v>0.01</v>
      </c>
      <c r="Q13" s="69">
        <f t="shared" si="6"/>
        <v>192.5</v>
      </c>
      <c r="R13" s="69">
        <f t="shared" si="6"/>
        <v>672.5</v>
      </c>
      <c r="S13" s="75">
        <f t="shared" si="6"/>
        <v>94.066018558594521</v>
      </c>
      <c r="T13" s="8">
        <f t="shared" si="6"/>
        <v>0</v>
      </c>
      <c r="U13" s="8">
        <f t="shared" si="6"/>
        <v>0.42000000000000004</v>
      </c>
      <c r="V13" s="8">
        <f t="shared" si="6"/>
        <v>0.34250000000000003</v>
      </c>
      <c r="W13" s="8">
        <f t="shared" si="6"/>
        <v>7.4999999999999997E-2</v>
      </c>
      <c r="X13" s="8">
        <f t="shared" si="6"/>
        <v>5.0000000000000001E-3</v>
      </c>
      <c r="Y13" s="68">
        <f t="shared" si="6"/>
        <v>221.75</v>
      </c>
      <c r="Z13" s="68">
        <f t="shared" si="6"/>
        <v>769.75</v>
      </c>
      <c r="AA13" s="8">
        <f t="shared" si="6"/>
        <v>19.623490792845633</v>
      </c>
      <c r="AB13" s="8">
        <f t="shared" si="6"/>
        <v>0</v>
      </c>
      <c r="AC13" s="8">
        <f t="shared" si="6"/>
        <v>0.28750000000000003</v>
      </c>
      <c r="AD13" s="8">
        <f t="shared" si="6"/>
        <v>0.22500000000000001</v>
      </c>
      <c r="AE13" s="8">
        <f t="shared" si="6"/>
        <v>5.5000000000000007E-2</v>
      </c>
      <c r="AF13" s="8">
        <f t="shared" si="6"/>
        <v>0.01</v>
      </c>
      <c r="AG13" s="68">
        <f t="shared" si="6"/>
        <v>197.5</v>
      </c>
      <c r="AH13" s="68">
        <f t="shared" si="6"/>
        <v>678.75</v>
      </c>
      <c r="AI13" s="8">
        <f t="shared" si="6"/>
        <v>18.838407797136451</v>
      </c>
      <c r="AK13" s="69"/>
      <c r="AL13" s="69"/>
      <c r="AM13" s="69"/>
      <c r="AN13" s="69"/>
      <c r="AO13" s="37"/>
      <c r="AP13" s="69"/>
      <c r="AS13" s="105">
        <v>10</v>
      </c>
      <c r="AT13" s="1">
        <v>8</v>
      </c>
      <c r="AU13" s="1">
        <v>56075</v>
      </c>
      <c r="AV13" s="1">
        <v>48611</v>
      </c>
      <c r="AW13" s="1">
        <v>7464</v>
      </c>
      <c r="AX13" s="3">
        <v>13.31</v>
      </c>
      <c r="AY13" s="1">
        <v>2</v>
      </c>
    </row>
    <row r="14" spans="1:51">
      <c r="A14" s="109"/>
      <c r="B14" s="106">
        <v>15</v>
      </c>
      <c r="C14" s="107">
        <v>3</v>
      </c>
      <c r="D14" s="3">
        <v>0</v>
      </c>
      <c r="E14" s="3">
        <v>1456.4</v>
      </c>
      <c r="F14" s="3">
        <v>110.03</v>
      </c>
      <c r="G14" s="3">
        <v>1346.19</v>
      </c>
      <c r="H14" s="3">
        <v>0.18</v>
      </c>
      <c r="I14" s="1">
        <v>4671</v>
      </c>
      <c r="J14" s="1">
        <v>14013</v>
      </c>
      <c r="K14" s="3">
        <f t="shared" si="0"/>
        <v>92.432710793737982</v>
      </c>
      <c r="L14" s="21">
        <v>0</v>
      </c>
      <c r="M14" s="3">
        <v>1488.15</v>
      </c>
      <c r="N14" s="3">
        <v>172.7</v>
      </c>
      <c r="O14" s="3">
        <v>1315.2</v>
      </c>
      <c r="P14" s="3">
        <v>0.25</v>
      </c>
      <c r="Q14" s="1">
        <v>4402</v>
      </c>
      <c r="R14" s="1">
        <v>13206</v>
      </c>
      <c r="S14" s="73">
        <f t="shared" si="1"/>
        <v>88.37818768269328</v>
      </c>
      <c r="T14" s="3">
        <v>0</v>
      </c>
      <c r="U14" s="3">
        <v>49.3</v>
      </c>
      <c r="V14" s="3">
        <v>47.34</v>
      </c>
      <c r="W14" s="3">
        <v>1.85</v>
      </c>
      <c r="X14" s="3">
        <v>0.11</v>
      </c>
      <c r="Y14" s="1">
        <v>4762</v>
      </c>
      <c r="Z14" s="1">
        <v>14286</v>
      </c>
      <c r="AA14" s="3">
        <f t="shared" si="2"/>
        <v>3.7525354969574041</v>
      </c>
      <c r="AB14" s="3">
        <v>0</v>
      </c>
      <c r="AC14" s="3">
        <v>65.040000000000006</v>
      </c>
      <c r="AD14" s="3">
        <v>63.6</v>
      </c>
      <c r="AE14" s="3">
        <v>1.31</v>
      </c>
      <c r="AF14" s="3">
        <v>0.13</v>
      </c>
      <c r="AG14" s="1">
        <v>4571</v>
      </c>
      <c r="AH14" s="1">
        <v>13713</v>
      </c>
      <c r="AI14" s="3">
        <f t="shared" si="3"/>
        <v>2.0141451414514142</v>
      </c>
      <c r="AK14" s="1">
        <v>13</v>
      </c>
      <c r="AL14" s="1">
        <v>8490966</v>
      </c>
      <c r="AM14" s="1">
        <v>8077380</v>
      </c>
      <c r="AN14" s="1">
        <v>413586</v>
      </c>
      <c r="AO14" s="3">
        <v>4.87</v>
      </c>
      <c r="AP14" s="1">
        <v>4</v>
      </c>
      <c r="AS14" s="100"/>
      <c r="AT14" s="1">
        <v>8</v>
      </c>
      <c r="AU14" s="1">
        <v>47380</v>
      </c>
      <c r="AV14" s="1">
        <v>40589</v>
      </c>
      <c r="AW14" s="1">
        <v>6791</v>
      </c>
      <c r="AX14" s="3">
        <v>14.33</v>
      </c>
      <c r="AY14" s="1">
        <v>3</v>
      </c>
    </row>
    <row r="15" spans="1:51">
      <c r="A15" s="109"/>
      <c r="B15" s="106"/>
      <c r="C15" s="107"/>
      <c r="D15" s="3">
        <v>0</v>
      </c>
      <c r="E15" s="3">
        <v>1453.96</v>
      </c>
      <c r="F15" s="3">
        <v>131.41999999999999</v>
      </c>
      <c r="G15" s="3">
        <v>1322.38</v>
      </c>
      <c r="H15" s="3">
        <v>0.16</v>
      </c>
      <c r="I15" s="1">
        <v>4555</v>
      </c>
      <c r="J15" s="1">
        <v>13665</v>
      </c>
      <c r="K15" s="3">
        <f t="shared" si="0"/>
        <v>90.950232468568601</v>
      </c>
      <c r="L15" s="21">
        <v>0</v>
      </c>
      <c r="M15" s="3">
        <v>1595.66</v>
      </c>
      <c r="N15" s="3">
        <v>249.92</v>
      </c>
      <c r="O15" s="3">
        <v>1345.49</v>
      </c>
      <c r="P15" s="3">
        <v>0.25</v>
      </c>
      <c r="Q15" s="1">
        <v>4428</v>
      </c>
      <c r="R15" s="1">
        <v>13284</v>
      </c>
      <c r="S15" s="73">
        <f t="shared" si="1"/>
        <v>84.321848012734534</v>
      </c>
      <c r="T15" s="3">
        <v>0</v>
      </c>
      <c r="U15" s="3">
        <v>42.18</v>
      </c>
      <c r="V15" s="3">
        <v>40.520000000000003</v>
      </c>
      <c r="W15" s="3">
        <v>1.56</v>
      </c>
      <c r="X15" s="3">
        <v>0.1</v>
      </c>
      <c r="Y15" s="1">
        <v>4884</v>
      </c>
      <c r="Z15" s="1">
        <v>14652</v>
      </c>
      <c r="AA15" s="3">
        <f t="shared" si="2"/>
        <v>3.6984352773826461</v>
      </c>
      <c r="AB15" s="3">
        <v>0</v>
      </c>
      <c r="AC15" s="3">
        <v>72.78</v>
      </c>
      <c r="AD15" s="3">
        <v>71.3</v>
      </c>
      <c r="AE15" s="3">
        <v>1.34</v>
      </c>
      <c r="AF15" s="3">
        <v>0.13</v>
      </c>
      <c r="AG15" s="1">
        <v>4641</v>
      </c>
      <c r="AH15" s="1">
        <v>13923</v>
      </c>
      <c r="AI15" s="3">
        <f t="shared" si="3"/>
        <v>1.8411651552624346</v>
      </c>
      <c r="AK15" s="1">
        <v>13</v>
      </c>
      <c r="AL15" s="1">
        <v>8382026</v>
      </c>
      <c r="AM15" s="1">
        <v>7835236</v>
      </c>
      <c r="AN15" s="1">
        <v>546790</v>
      </c>
      <c r="AO15" s="3">
        <v>6.52</v>
      </c>
      <c r="AP15" s="1">
        <v>7</v>
      </c>
      <c r="AS15" s="100"/>
      <c r="AT15" s="4">
        <v>7</v>
      </c>
      <c r="AU15" s="4">
        <v>21568</v>
      </c>
      <c r="AV15" s="4">
        <v>17724</v>
      </c>
      <c r="AW15" s="4">
        <v>3844</v>
      </c>
      <c r="AX15" s="5">
        <v>17.82</v>
      </c>
      <c r="AY15" s="4">
        <v>3</v>
      </c>
    </row>
    <row r="16" spans="1:51">
      <c r="A16" s="109"/>
      <c r="B16" s="106"/>
      <c r="C16" s="107">
        <v>4</v>
      </c>
      <c r="D16" s="5">
        <v>0</v>
      </c>
      <c r="E16" s="5">
        <v>1070.9100000000001</v>
      </c>
      <c r="F16" s="5">
        <v>374.18</v>
      </c>
      <c r="G16" s="5">
        <v>696.57</v>
      </c>
      <c r="H16" s="5">
        <v>0.15</v>
      </c>
      <c r="I16" s="4">
        <v>3590</v>
      </c>
      <c r="J16" s="4">
        <v>14360</v>
      </c>
      <c r="K16" s="5">
        <f t="shared" si="0"/>
        <v>65.044681625906946</v>
      </c>
      <c r="L16" s="5">
        <v>0</v>
      </c>
      <c r="M16" s="32">
        <v>1097.6199999999999</v>
      </c>
      <c r="N16" s="32">
        <v>457.74</v>
      </c>
      <c r="O16" s="32">
        <v>639.65</v>
      </c>
      <c r="P16" s="32">
        <v>0.23</v>
      </c>
      <c r="Q16" s="4">
        <v>3169</v>
      </c>
      <c r="R16" s="4">
        <v>12676</v>
      </c>
      <c r="S16" s="74">
        <f t="shared" si="1"/>
        <v>58.276088263697822</v>
      </c>
      <c r="T16" s="5">
        <v>0</v>
      </c>
      <c r="U16" s="5">
        <v>206.87</v>
      </c>
      <c r="V16" s="5">
        <v>205.33</v>
      </c>
      <c r="W16" s="5">
        <v>1.42</v>
      </c>
      <c r="X16" s="5">
        <v>0.12</v>
      </c>
      <c r="Y16" s="4">
        <v>3729</v>
      </c>
      <c r="Z16" s="4">
        <v>14916</v>
      </c>
      <c r="AA16" s="5">
        <f t="shared" si="2"/>
        <v>0.6864214240827573</v>
      </c>
      <c r="AB16" s="5">
        <v>0</v>
      </c>
      <c r="AC16" s="5">
        <v>201.53</v>
      </c>
      <c r="AD16" s="5">
        <v>200.69</v>
      </c>
      <c r="AE16" s="5">
        <v>0.71</v>
      </c>
      <c r="AF16" s="5">
        <v>0.13</v>
      </c>
      <c r="AG16" s="4">
        <v>3143</v>
      </c>
      <c r="AH16" s="4">
        <v>12572</v>
      </c>
      <c r="AI16" s="5">
        <f t="shared" si="3"/>
        <v>0.35230486776162356</v>
      </c>
      <c r="AK16" s="4">
        <v>12</v>
      </c>
      <c r="AL16" s="4">
        <v>4184807</v>
      </c>
      <c r="AM16" s="4">
        <v>3897571</v>
      </c>
      <c r="AN16" s="4">
        <v>287236</v>
      </c>
      <c r="AO16" s="5">
        <v>6.86</v>
      </c>
      <c r="AP16" s="4">
        <v>5</v>
      </c>
      <c r="AS16" s="100"/>
      <c r="AT16" s="4">
        <v>7</v>
      </c>
      <c r="AU16" s="4">
        <v>32773</v>
      </c>
      <c r="AV16" s="4">
        <v>27797</v>
      </c>
      <c r="AW16" s="4">
        <v>4976</v>
      </c>
      <c r="AX16" s="5">
        <v>15.18</v>
      </c>
      <c r="AY16" s="4">
        <v>3</v>
      </c>
    </row>
    <row r="17" spans="1:51">
      <c r="A17" s="109"/>
      <c r="B17" s="106"/>
      <c r="C17" s="107"/>
      <c r="D17" s="5">
        <v>0</v>
      </c>
      <c r="E17" s="32">
        <v>721.94</v>
      </c>
      <c r="F17" s="32">
        <v>296.95999999999998</v>
      </c>
      <c r="G17" s="32">
        <v>424.85</v>
      </c>
      <c r="H17" s="32">
        <v>0.13</v>
      </c>
      <c r="I17" s="4">
        <v>2998</v>
      </c>
      <c r="J17" s="4">
        <v>11992</v>
      </c>
      <c r="K17" s="5">
        <f t="shared" si="0"/>
        <v>58.84838075186304</v>
      </c>
      <c r="L17" s="32">
        <v>0</v>
      </c>
      <c r="M17" s="32">
        <v>862.13</v>
      </c>
      <c r="N17" s="32">
        <v>410.29</v>
      </c>
      <c r="O17" s="32">
        <v>451.64</v>
      </c>
      <c r="P17" s="32">
        <v>0.2</v>
      </c>
      <c r="Q17" s="4">
        <v>3026</v>
      </c>
      <c r="R17" s="4">
        <v>12104</v>
      </c>
      <c r="S17" s="74">
        <f t="shared" si="1"/>
        <v>52.386531033602822</v>
      </c>
      <c r="T17" s="5">
        <v>0</v>
      </c>
      <c r="U17" s="5">
        <v>85.56</v>
      </c>
      <c r="V17" s="5">
        <v>84.72</v>
      </c>
      <c r="W17" s="5">
        <v>0.74</v>
      </c>
      <c r="X17" s="5">
        <v>0.1</v>
      </c>
      <c r="Y17" s="4">
        <v>3530</v>
      </c>
      <c r="Z17" s="4">
        <v>14120</v>
      </c>
      <c r="AA17" s="5">
        <f t="shared" si="2"/>
        <v>0.86489013557737249</v>
      </c>
      <c r="AB17" s="5">
        <v>0</v>
      </c>
      <c r="AC17" s="5">
        <v>163.72999999999999</v>
      </c>
      <c r="AD17" s="5">
        <v>163</v>
      </c>
      <c r="AE17" s="5">
        <v>0.59</v>
      </c>
      <c r="AF17" s="5">
        <v>0.15</v>
      </c>
      <c r="AG17" s="4">
        <v>3387</v>
      </c>
      <c r="AH17" s="4">
        <v>13548</v>
      </c>
      <c r="AI17" s="5">
        <f t="shared" si="3"/>
        <v>0.36034935564649118</v>
      </c>
      <c r="AK17" s="4">
        <v>12</v>
      </c>
      <c r="AL17" s="4">
        <v>3120571</v>
      </c>
      <c r="AM17" s="4">
        <v>2905872</v>
      </c>
      <c r="AN17" s="4">
        <v>214699</v>
      </c>
      <c r="AO17" s="5">
        <v>6.88</v>
      </c>
      <c r="AP17" s="4">
        <v>4</v>
      </c>
      <c r="AS17" s="100"/>
      <c r="AT17" s="1">
        <v>8</v>
      </c>
      <c r="AU17" s="1">
        <v>75466</v>
      </c>
      <c r="AV17" s="1">
        <v>66411</v>
      </c>
      <c r="AW17" s="1">
        <v>9055</v>
      </c>
      <c r="AX17" s="3">
        <v>12</v>
      </c>
      <c r="AY17" s="1">
        <v>4</v>
      </c>
    </row>
    <row r="18" spans="1:51">
      <c r="A18" s="109"/>
      <c r="B18" s="106"/>
      <c r="C18" s="42"/>
      <c r="D18" s="33">
        <f t="shared" ref="D18:AI18" si="7">AVERAGE(D14:D17)</f>
        <v>0</v>
      </c>
      <c r="E18" s="33">
        <f t="shared" si="7"/>
        <v>1175.8025000000002</v>
      </c>
      <c r="F18" s="33">
        <f t="shared" si="7"/>
        <v>228.14749999999998</v>
      </c>
      <c r="G18" s="33">
        <f t="shared" si="7"/>
        <v>947.49750000000006</v>
      </c>
      <c r="H18" s="33">
        <f t="shared" si="7"/>
        <v>0.155</v>
      </c>
      <c r="I18" s="68">
        <f t="shared" si="7"/>
        <v>3953.5</v>
      </c>
      <c r="J18" s="68">
        <f t="shared" si="7"/>
        <v>13507.5</v>
      </c>
      <c r="K18" s="8">
        <f t="shared" si="7"/>
        <v>76.819001410019141</v>
      </c>
      <c r="L18" s="33">
        <f t="shared" si="7"/>
        <v>0</v>
      </c>
      <c r="M18" s="33">
        <f t="shared" si="7"/>
        <v>1260.8900000000001</v>
      </c>
      <c r="N18" s="33">
        <f t="shared" si="7"/>
        <v>322.66250000000002</v>
      </c>
      <c r="O18" s="33">
        <f t="shared" si="7"/>
        <v>937.995</v>
      </c>
      <c r="P18" s="33">
        <f t="shared" si="7"/>
        <v>0.23249999999999998</v>
      </c>
      <c r="Q18" s="68">
        <f t="shared" si="7"/>
        <v>3756.25</v>
      </c>
      <c r="R18" s="68">
        <f t="shared" si="7"/>
        <v>12817.5</v>
      </c>
      <c r="S18" s="75">
        <f t="shared" si="7"/>
        <v>70.840663748182109</v>
      </c>
      <c r="T18" s="8">
        <f t="shared" si="7"/>
        <v>0</v>
      </c>
      <c r="U18" s="8">
        <f t="shared" si="7"/>
        <v>95.977500000000006</v>
      </c>
      <c r="V18" s="8">
        <f t="shared" si="7"/>
        <v>94.47750000000002</v>
      </c>
      <c r="W18" s="8">
        <f t="shared" si="7"/>
        <v>1.3925000000000001</v>
      </c>
      <c r="X18" s="8">
        <f t="shared" si="7"/>
        <v>0.10750000000000001</v>
      </c>
      <c r="Y18" s="68">
        <f t="shared" si="7"/>
        <v>4226.25</v>
      </c>
      <c r="Z18" s="68">
        <f t="shared" si="7"/>
        <v>14493.5</v>
      </c>
      <c r="AA18" s="8">
        <f t="shared" si="7"/>
        <v>2.2505705835000449</v>
      </c>
      <c r="AB18" s="8">
        <f t="shared" si="7"/>
        <v>0</v>
      </c>
      <c r="AC18" s="8">
        <f t="shared" si="7"/>
        <v>125.77000000000001</v>
      </c>
      <c r="AD18" s="8">
        <f t="shared" si="7"/>
        <v>124.64750000000001</v>
      </c>
      <c r="AE18" s="8">
        <f t="shared" si="7"/>
        <v>0.98750000000000004</v>
      </c>
      <c r="AF18" s="8">
        <f t="shared" si="7"/>
        <v>0.13500000000000001</v>
      </c>
      <c r="AG18" s="68">
        <f t="shared" si="7"/>
        <v>3935.5</v>
      </c>
      <c r="AH18" s="68">
        <f t="shared" si="7"/>
        <v>13439</v>
      </c>
      <c r="AI18" s="8">
        <f t="shared" si="7"/>
        <v>1.1419911300304908</v>
      </c>
      <c r="AK18" s="68"/>
      <c r="AL18" s="68"/>
      <c r="AM18" s="68"/>
      <c r="AN18" s="68"/>
      <c r="AO18" s="8"/>
      <c r="AP18" s="68"/>
      <c r="AS18" s="100"/>
      <c r="AT18" s="1">
        <v>8</v>
      </c>
      <c r="AU18" s="1">
        <v>87267</v>
      </c>
      <c r="AV18" s="1">
        <v>77969</v>
      </c>
      <c r="AW18" s="1">
        <v>9298</v>
      </c>
      <c r="AX18" s="3">
        <v>10.65</v>
      </c>
      <c r="AY18" s="1">
        <v>3</v>
      </c>
    </row>
    <row r="19" spans="1:51">
      <c r="A19" s="109"/>
      <c r="B19" s="100">
        <v>20</v>
      </c>
      <c r="C19" s="102">
        <v>4</v>
      </c>
      <c r="D19" s="39">
        <v>64.069999999999993</v>
      </c>
      <c r="E19" s="39">
        <v>3600.35</v>
      </c>
      <c r="F19" s="39">
        <v>315.67</v>
      </c>
      <c r="G19" s="39">
        <v>3284.39</v>
      </c>
      <c r="H19" s="39">
        <v>0.3</v>
      </c>
      <c r="I19" s="34">
        <v>6089</v>
      </c>
      <c r="J19" s="34">
        <v>24356</v>
      </c>
      <c r="K19" s="3">
        <f t="shared" si="0"/>
        <v>91.224186537419968</v>
      </c>
      <c r="L19" s="39">
        <v>61.42</v>
      </c>
      <c r="M19" s="39">
        <v>3600.3</v>
      </c>
      <c r="N19" s="39">
        <v>464.78</v>
      </c>
      <c r="O19" s="39">
        <v>3135.09</v>
      </c>
      <c r="P19" s="39">
        <v>0.44</v>
      </c>
      <c r="Q19" s="34">
        <v>5105</v>
      </c>
      <c r="R19" s="34">
        <v>20420</v>
      </c>
      <c r="S19" s="73">
        <f t="shared" si="1"/>
        <v>87.078576785267899</v>
      </c>
      <c r="T19" s="3">
        <v>43.76</v>
      </c>
      <c r="U19" s="3">
        <v>3600.04</v>
      </c>
      <c r="V19" s="3">
        <v>3568.47</v>
      </c>
      <c r="W19" s="3">
        <v>29.45</v>
      </c>
      <c r="X19" s="3">
        <v>2.12</v>
      </c>
      <c r="Y19" s="1">
        <v>32713</v>
      </c>
      <c r="Z19" s="1">
        <v>130852</v>
      </c>
      <c r="AA19" s="3">
        <f t="shared" si="2"/>
        <v>0.81804646615037613</v>
      </c>
      <c r="AB19" s="3">
        <v>45.82</v>
      </c>
      <c r="AC19" s="3">
        <v>3600.16</v>
      </c>
      <c r="AD19" s="3">
        <v>3575.17</v>
      </c>
      <c r="AE19" s="3">
        <v>23.33</v>
      </c>
      <c r="AF19" s="3">
        <v>1.65</v>
      </c>
      <c r="AG19" s="1">
        <v>26016</v>
      </c>
      <c r="AH19" s="1">
        <v>104064</v>
      </c>
      <c r="AI19" s="3">
        <f t="shared" si="3"/>
        <v>0.64802675436647261</v>
      </c>
      <c r="AK19" s="34">
        <v>17</v>
      </c>
      <c r="AL19" s="34">
        <v>144736307</v>
      </c>
      <c r="AM19" s="34">
        <v>141750388</v>
      </c>
      <c r="AN19" s="34">
        <v>2985919</v>
      </c>
      <c r="AO19" s="35">
        <v>2.06</v>
      </c>
      <c r="AP19" s="34">
        <v>8</v>
      </c>
      <c r="AS19" s="100"/>
      <c r="AT19" s="4">
        <v>7</v>
      </c>
      <c r="AU19" s="4">
        <v>44064</v>
      </c>
      <c r="AV19" s="4">
        <v>40366</v>
      </c>
      <c r="AW19" s="4">
        <v>3698</v>
      </c>
      <c r="AX19" s="5">
        <v>8.39</v>
      </c>
      <c r="AY19" s="4">
        <v>4</v>
      </c>
    </row>
    <row r="20" spans="1:51">
      <c r="A20" s="109"/>
      <c r="B20" s="100"/>
      <c r="C20" s="102"/>
      <c r="D20" s="21">
        <v>74.14</v>
      </c>
      <c r="E20" s="21">
        <v>3603.85</v>
      </c>
      <c r="F20" s="21">
        <v>145.56</v>
      </c>
      <c r="G20" s="21">
        <v>3458.04</v>
      </c>
      <c r="H20" s="21">
        <v>0.25</v>
      </c>
      <c r="I20" s="1">
        <v>5266</v>
      </c>
      <c r="J20" s="34">
        <v>21064</v>
      </c>
      <c r="K20" s="3">
        <f t="shared" si="0"/>
        <v>95.954049141889925</v>
      </c>
      <c r="L20" s="39">
        <v>65.77</v>
      </c>
      <c r="M20" s="39">
        <v>3603.07</v>
      </c>
      <c r="N20" s="39">
        <v>539.15</v>
      </c>
      <c r="O20" s="39">
        <v>3063.44</v>
      </c>
      <c r="P20" s="39">
        <v>0.48</v>
      </c>
      <c r="Q20" s="34">
        <v>5217</v>
      </c>
      <c r="R20" s="34">
        <v>20868</v>
      </c>
      <c r="S20" s="73">
        <f t="shared" si="1"/>
        <v>85.023049788097367</v>
      </c>
      <c r="T20" s="3">
        <v>52.51</v>
      </c>
      <c r="U20" s="3">
        <v>3600.11</v>
      </c>
      <c r="V20" s="3">
        <v>3573.96</v>
      </c>
      <c r="W20" s="3">
        <v>24.29</v>
      </c>
      <c r="X20" s="3">
        <v>1.86</v>
      </c>
      <c r="Y20" s="1">
        <v>30963</v>
      </c>
      <c r="Z20" s="1">
        <v>123852</v>
      </c>
      <c r="AA20" s="3">
        <f t="shared" si="2"/>
        <v>0.67470160633980625</v>
      </c>
      <c r="AB20" s="3">
        <v>51.22</v>
      </c>
      <c r="AC20" s="3">
        <v>3600.11</v>
      </c>
      <c r="AD20" s="3">
        <v>3575.67</v>
      </c>
      <c r="AE20" s="3">
        <v>22.75</v>
      </c>
      <c r="AF20" s="3">
        <v>1.69</v>
      </c>
      <c r="AG20" s="1">
        <v>26560</v>
      </c>
      <c r="AH20" s="1">
        <v>106240</v>
      </c>
      <c r="AI20" s="3">
        <f t="shared" si="3"/>
        <v>0.63192513562085595</v>
      </c>
      <c r="AK20" s="1">
        <v>17</v>
      </c>
      <c r="AL20" s="1">
        <v>139555985</v>
      </c>
      <c r="AM20" s="1">
        <v>136469011</v>
      </c>
      <c r="AN20" s="1">
        <v>3086974</v>
      </c>
      <c r="AO20" s="3">
        <v>2.21</v>
      </c>
      <c r="AP20" s="1">
        <v>6</v>
      </c>
      <c r="AS20" s="101"/>
      <c r="AT20" s="4">
        <v>7</v>
      </c>
      <c r="AU20" s="4">
        <v>32762</v>
      </c>
      <c r="AV20" s="4">
        <v>28064</v>
      </c>
      <c r="AW20" s="4">
        <v>4698</v>
      </c>
      <c r="AX20" s="5">
        <v>14.34</v>
      </c>
      <c r="AY20" s="4">
        <v>5</v>
      </c>
    </row>
    <row r="21" spans="1:51">
      <c r="A21" s="109"/>
      <c r="B21" s="100"/>
      <c r="C21" s="104">
        <v>5</v>
      </c>
      <c r="D21" s="32">
        <v>49.6</v>
      </c>
      <c r="E21" s="32">
        <v>3599.86</v>
      </c>
      <c r="F21" s="32">
        <v>1127.17</v>
      </c>
      <c r="G21" s="32">
        <v>2472.39</v>
      </c>
      <c r="H21" s="32">
        <v>0.31</v>
      </c>
      <c r="I21" s="4">
        <v>6066</v>
      </c>
      <c r="J21" s="4">
        <v>30330</v>
      </c>
      <c r="K21" s="5">
        <f t="shared" si="0"/>
        <v>68.680170895534815</v>
      </c>
      <c r="L21" s="32">
        <v>48.5</v>
      </c>
      <c r="M21" s="32">
        <v>3599.98</v>
      </c>
      <c r="N21" s="32">
        <v>1350.41</v>
      </c>
      <c r="O21" s="32">
        <v>2249.0700000000002</v>
      </c>
      <c r="P21" s="32">
        <v>0.5</v>
      </c>
      <c r="Q21" s="4">
        <v>5382</v>
      </c>
      <c r="R21" s="4">
        <v>26910</v>
      </c>
      <c r="S21" s="74">
        <f t="shared" si="1"/>
        <v>62.474513747298602</v>
      </c>
      <c r="T21" s="5">
        <v>33.01</v>
      </c>
      <c r="U21" s="5">
        <v>3600.02</v>
      </c>
      <c r="V21" s="5">
        <v>3588.82</v>
      </c>
      <c r="W21" s="5">
        <v>10.23</v>
      </c>
      <c r="X21" s="5">
        <v>0.97</v>
      </c>
      <c r="Y21" s="4">
        <v>19175</v>
      </c>
      <c r="Z21" s="4">
        <v>95875</v>
      </c>
      <c r="AA21" s="5">
        <f t="shared" si="2"/>
        <v>0.28416508797173345</v>
      </c>
      <c r="AB21" s="5">
        <v>32.5</v>
      </c>
      <c r="AC21" s="5">
        <v>3600.02</v>
      </c>
      <c r="AD21" s="5">
        <v>3590.45</v>
      </c>
      <c r="AE21" s="5">
        <v>8.65</v>
      </c>
      <c r="AF21" s="5">
        <v>0.92</v>
      </c>
      <c r="AG21" s="4">
        <v>14059</v>
      </c>
      <c r="AH21" s="4">
        <v>70295</v>
      </c>
      <c r="AI21" s="5">
        <f t="shared" si="3"/>
        <v>0.24027644290865049</v>
      </c>
      <c r="AK21" s="4">
        <v>16</v>
      </c>
      <c r="AL21" s="4">
        <v>57309719</v>
      </c>
      <c r="AM21" s="4">
        <v>55666540</v>
      </c>
      <c r="AN21" s="4">
        <v>1643179</v>
      </c>
      <c r="AO21" s="5">
        <v>2.87</v>
      </c>
      <c r="AP21" s="4">
        <v>6</v>
      </c>
      <c r="AS21" s="68"/>
      <c r="AT21" s="42">
        <f t="shared" ref="AT21:AY21" si="8">AVERAGE(AT13:AT20)</f>
        <v>7.5</v>
      </c>
      <c r="AU21" s="42">
        <f t="shared" si="8"/>
        <v>49669.375</v>
      </c>
      <c r="AV21" s="42">
        <f t="shared" si="8"/>
        <v>43441.375</v>
      </c>
      <c r="AW21" s="42">
        <f t="shared" si="8"/>
        <v>6228</v>
      </c>
      <c r="AX21" s="8">
        <f t="shared" si="8"/>
        <v>13.252500000000001</v>
      </c>
      <c r="AY21" s="42">
        <f t="shared" si="8"/>
        <v>3.375</v>
      </c>
    </row>
    <row r="22" spans="1:51">
      <c r="A22" s="109"/>
      <c r="B22" s="100"/>
      <c r="C22" s="102"/>
      <c r="D22" s="32">
        <v>45.87</v>
      </c>
      <c r="E22" s="32">
        <v>3599.99</v>
      </c>
      <c r="F22" s="32">
        <v>905.58</v>
      </c>
      <c r="G22" s="32">
        <v>2694.08</v>
      </c>
      <c r="H22" s="32">
        <v>0.32</v>
      </c>
      <c r="I22" s="4">
        <v>6095</v>
      </c>
      <c r="J22" s="4">
        <v>30475</v>
      </c>
      <c r="K22" s="5">
        <f t="shared" si="0"/>
        <v>74.835763432676202</v>
      </c>
      <c r="L22" s="32">
        <v>43.95</v>
      </c>
      <c r="M22" s="32">
        <v>3605.9</v>
      </c>
      <c r="N22" s="32">
        <v>1188.1199999999999</v>
      </c>
      <c r="O22" s="32">
        <v>2417.27</v>
      </c>
      <c r="P22" s="32">
        <v>0.52</v>
      </c>
      <c r="Q22" s="4">
        <v>5572</v>
      </c>
      <c r="R22" s="4">
        <v>27860</v>
      </c>
      <c r="S22" s="74">
        <f t="shared" si="1"/>
        <v>67.036523475415294</v>
      </c>
      <c r="T22" s="5">
        <v>31.59</v>
      </c>
      <c r="U22" s="5">
        <v>3600.05</v>
      </c>
      <c r="V22" s="5">
        <v>3587.09</v>
      </c>
      <c r="W22" s="5">
        <v>12.06</v>
      </c>
      <c r="X22" s="5">
        <v>0.89</v>
      </c>
      <c r="Y22" s="4">
        <v>19352</v>
      </c>
      <c r="Z22" s="4">
        <v>96760</v>
      </c>
      <c r="AA22" s="5">
        <f t="shared" si="2"/>
        <v>0.33499534728684327</v>
      </c>
      <c r="AB22" s="5">
        <v>28.66</v>
      </c>
      <c r="AC22" s="5">
        <v>3600.09</v>
      </c>
      <c r="AD22" s="5">
        <v>3587.61</v>
      </c>
      <c r="AE22" s="5">
        <v>11.4</v>
      </c>
      <c r="AF22" s="5">
        <v>1.08</v>
      </c>
      <c r="AG22" s="4">
        <v>15673</v>
      </c>
      <c r="AH22" s="4">
        <v>78365</v>
      </c>
      <c r="AI22" s="5">
        <f t="shared" si="3"/>
        <v>0.31665875019791173</v>
      </c>
      <c r="AK22" s="4">
        <v>16</v>
      </c>
      <c r="AL22" s="4">
        <v>75178882</v>
      </c>
      <c r="AM22" s="4">
        <v>73392578</v>
      </c>
      <c r="AN22" s="4">
        <v>1786304</v>
      </c>
      <c r="AO22" s="5">
        <v>2.38</v>
      </c>
      <c r="AP22" s="4">
        <v>6</v>
      </c>
      <c r="AS22" s="105">
        <v>15</v>
      </c>
      <c r="AT22" s="1">
        <v>13</v>
      </c>
      <c r="AU22" s="1">
        <v>8490966</v>
      </c>
      <c r="AV22" s="1">
        <v>8077380</v>
      </c>
      <c r="AW22" s="1">
        <v>413586</v>
      </c>
      <c r="AX22" s="3">
        <v>4.87</v>
      </c>
      <c r="AY22" s="1">
        <v>4</v>
      </c>
    </row>
    <row r="23" spans="1:51">
      <c r="A23" s="109"/>
      <c r="B23" s="100"/>
      <c r="C23" s="41"/>
      <c r="D23" s="38">
        <f t="shared" ref="D23:AI23" si="9">AVERAGE(D19:D22)</f>
        <v>58.419999999999995</v>
      </c>
      <c r="E23" s="38">
        <f t="shared" si="9"/>
        <v>3601.0124999999998</v>
      </c>
      <c r="F23" s="38">
        <f t="shared" si="9"/>
        <v>623.495</v>
      </c>
      <c r="G23" s="38">
        <f t="shared" si="9"/>
        <v>2977.2249999999999</v>
      </c>
      <c r="H23" s="38">
        <f t="shared" si="9"/>
        <v>0.29500000000000004</v>
      </c>
      <c r="I23" s="69">
        <f t="shared" si="9"/>
        <v>5879</v>
      </c>
      <c r="J23" s="69">
        <f t="shared" si="9"/>
        <v>26556.25</v>
      </c>
      <c r="K23" s="37">
        <f t="shared" si="9"/>
        <v>82.673542501880235</v>
      </c>
      <c r="L23" s="38">
        <f t="shared" si="9"/>
        <v>54.91</v>
      </c>
      <c r="M23" s="38">
        <f t="shared" si="9"/>
        <v>3602.3125</v>
      </c>
      <c r="N23" s="38">
        <f t="shared" si="9"/>
        <v>885.61500000000001</v>
      </c>
      <c r="O23" s="38">
        <f t="shared" si="9"/>
        <v>2716.2175000000002</v>
      </c>
      <c r="P23" s="38">
        <f t="shared" si="9"/>
        <v>0.48499999999999999</v>
      </c>
      <c r="Q23" s="69">
        <f t="shared" si="9"/>
        <v>5319</v>
      </c>
      <c r="R23" s="69">
        <f t="shared" si="9"/>
        <v>24014.5</v>
      </c>
      <c r="S23" s="76">
        <f t="shared" si="9"/>
        <v>75.40316594901978</v>
      </c>
      <c r="T23" s="37">
        <f t="shared" si="9"/>
        <v>40.217500000000001</v>
      </c>
      <c r="U23" s="37">
        <f t="shared" si="9"/>
        <v>3600.0550000000003</v>
      </c>
      <c r="V23" s="37">
        <f t="shared" si="9"/>
        <v>3579.585</v>
      </c>
      <c r="W23" s="37">
        <f t="shared" si="9"/>
        <v>19.0075</v>
      </c>
      <c r="X23" s="37">
        <f t="shared" si="9"/>
        <v>1.46</v>
      </c>
      <c r="Y23" s="69">
        <f t="shared" si="9"/>
        <v>25550.75</v>
      </c>
      <c r="Z23" s="69">
        <f t="shared" si="9"/>
        <v>111834.75</v>
      </c>
      <c r="AA23" s="37">
        <f t="shared" si="9"/>
        <v>0.52797712693718979</v>
      </c>
      <c r="AB23" s="37">
        <f t="shared" si="9"/>
        <v>39.549999999999997</v>
      </c>
      <c r="AC23" s="37">
        <f t="shared" si="9"/>
        <v>3600.0950000000003</v>
      </c>
      <c r="AD23" s="37">
        <f t="shared" si="9"/>
        <v>3582.2250000000004</v>
      </c>
      <c r="AE23" s="37">
        <f t="shared" si="9"/>
        <v>16.532499999999999</v>
      </c>
      <c r="AF23" s="37">
        <f t="shared" si="9"/>
        <v>1.335</v>
      </c>
      <c r="AG23" s="69">
        <f t="shared" si="9"/>
        <v>20577</v>
      </c>
      <c r="AH23" s="69">
        <f t="shared" si="9"/>
        <v>89741</v>
      </c>
      <c r="AI23" s="37">
        <f t="shared" si="9"/>
        <v>0.4592217707734727</v>
      </c>
      <c r="AK23" s="68"/>
      <c r="AL23" s="68"/>
      <c r="AM23" s="68"/>
      <c r="AN23" s="68"/>
      <c r="AO23" s="8"/>
      <c r="AP23" s="68"/>
      <c r="AS23" s="100"/>
      <c r="AT23" s="1">
        <v>13</v>
      </c>
      <c r="AU23" s="1">
        <v>8382026</v>
      </c>
      <c r="AV23" s="1">
        <v>7835236</v>
      </c>
      <c r="AW23" s="1">
        <v>546790</v>
      </c>
      <c r="AX23" s="3">
        <v>6.52</v>
      </c>
      <c r="AY23" s="1">
        <v>7</v>
      </c>
    </row>
    <row r="24" spans="1:5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58"/>
      <c r="L24" s="47"/>
      <c r="M24" s="47"/>
      <c r="N24" s="47"/>
      <c r="O24" s="47"/>
      <c r="P24" s="47"/>
      <c r="Q24" s="47"/>
      <c r="R24" s="47"/>
      <c r="S24" s="58"/>
      <c r="T24" s="47"/>
      <c r="U24" s="59"/>
      <c r="V24" s="47"/>
      <c r="W24" s="47"/>
      <c r="X24" s="47"/>
      <c r="Y24" s="47"/>
      <c r="Z24" s="47"/>
      <c r="AA24" s="58"/>
      <c r="AB24" s="47"/>
      <c r="AC24" s="47"/>
      <c r="AD24" s="47"/>
      <c r="AE24" s="47"/>
      <c r="AF24" s="47"/>
      <c r="AG24" s="47"/>
      <c r="AH24" s="47"/>
      <c r="AI24" s="58"/>
      <c r="AS24" s="100"/>
      <c r="AT24" s="4">
        <v>12</v>
      </c>
      <c r="AU24" s="4">
        <v>4184807</v>
      </c>
      <c r="AV24" s="4">
        <v>3897571</v>
      </c>
      <c r="AW24" s="4">
        <v>287236</v>
      </c>
      <c r="AX24" s="5">
        <v>6.86</v>
      </c>
      <c r="AY24" s="4">
        <v>5</v>
      </c>
    </row>
    <row r="25" spans="1:51">
      <c r="K25" s="9"/>
      <c r="S25" s="9"/>
      <c r="AA25" s="9"/>
      <c r="AI25" s="9"/>
      <c r="AS25" s="100"/>
      <c r="AT25" s="4">
        <v>12</v>
      </c>
      <c r="AU25" s="4">
        <v>3120571</v>
      </c>
      <c r="AV25" s="4">
        <v>2905872</v>
      </c>
      <c r="AW25" s="4">
        <v>214699</v>
      </c>
      <c r="AX25" s="5">
        <v>6.88</v>
      </c>
      <c r="AY25" s="4">
        <v>4</v>
      </c>
    </row>
    <row r="26" spans="1:5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53"/>
      <c r="L26" s="48"/>
      <c r="M26" s="48"/>
      <c r="N26" s="48"/>
      <c r="O26" s="48"/>
      <c r="P26" s="48"/>
      <c r="Q26" s="48"/>
      <c r="R26" s="48"/>
      <c r="S26" s="53"/>
      <c r="T26" s="48"/>
      <c r="U26" s="54"/>
      <c r="V26" s="48"/>
      <c r="W26" s="48"/>
      <c r="X26" s="48"/>
      <c r="Y26" s="48"/>
      <c r="Z26" s="48"/>
      <c r="AA26" s="53"/>
      <c r="AB26" s="48"/>
      <c r="AC26" s="48"/>
      <c r="AD26" s="48"/>
      <c r="AE26" s="48"/>
      <c r="AF26" s="48"/>
      <c r="AG26" s="48"/>
      <c r="AH26" s="48"/>
      <c r="AI26" s="53"/>
      <c r="AS26" s="100"/>
      <c r="AT26" s="1">
        <v>13</v>
      </c>
      <c r="AU26" s="1">
        <v>12635987</v>
      </c>
      <c r="AV26" s="1">
        <v>12252218</v>
      </c>
      <c r="AW26" s="1">
        <v>383769</v>
      </c>
      <c r="AX26" s="3">
        <v>3.04</v>
      </c>
      <c r="AY26" s="1">
        <v>3</v>
      </c>
    </row>
    <row r="27" spans="1:51">
      <c r="A27" s="100" t="s">
        <v>9</v>
      </c>
      <c r="B27" s="100">
        <v>5</v>
      </c>
      <c r="C27" s="102">
        <v>2</v>
      </c>
      <c r="D27" s="39">
        <v>0</v>
      </c>
      <c r="E27" s="39">
        <v>0.09</v>
      </c>
      <c r="F27" s="39">
        <v>0.01</v>
      </c>
      <c r="G27" s="39">
        <v>7.0000000000000007E-2</v>
      </c>
      <c r="H27" s="39">
        <v>0</v>
      </c>
      <c r="I27" s="34">
        <v>16</v>
      </c>
      <c r="J27" s="34">
        <v>32</v>
      </c>
      <c r="K27" s="35">
        <f t="shared" si="0"/>
        <v>77.777777777777786</v>
      </c>
      <c r="L27" s="39">
        <v>0</v>
      </c>
      <c r="M27" s="39">
        <v>0.17</v>
      </c>
      <c r="N27" s="39">
        <v>0.05</v>
      </c>
      <c r="O27" s="39">
        <v>0.12</v>
      </c>
      <c r="P27" s="39">
        <v>0</v>
      </c>
      <c r="Q27" s="34">
        <v>17</v>
      </c>
      <c r="R27" s="34">
        <v>34</v>
      </c>
      <c r="S27" s="77">
        <f t="shared" si="1"/>
        <v>70.588235294117638</v>
      </c>
      <c r="T27" s="39">
        <v>0</v>
      </c>
      <c r="U27" s="35">
        <v>0.02</v>
      </c>
      <c r="V27" s="34">
        <v>0.02</v>
      </c>
      <c r="W27" s="35">
        <v>0</v>
      </c>
      <c r="X27" s="35">
        <v>0</v>
      </c>
      <c r="Y27" s="34">
        <v>16</v>
      </c>
      <c r="Z27" s="34">
        <v>32</v>
      </c>
      <c r="AA27" s="35">
        <f t="shared" si="2"/>
        <v>0</v>
      </c>
      <c r="AB27" s="39">
        <v>0</v>
      </c>
      <c r="AC27" s="34">
        <v>0.04</v>
      </c>
      <c r="AD27" s="34">
        <v>0.04</v>
      </c>
      <c r="AE27" s="35">
        <v>0</v>
      </c>
      <c r="AF27" s="35">
        <v>0</v>
      </c>
      <c r="AG27" s="34">
        <v>16</v>
      </c>
      <c r="AH27" s="34">
        <v>32</v>
      </c>
      <c r="AI27" s="35">
        <f t="shared" si="3"/>
        <v>0</v>
      </c>
      <c r="AK27" s="1">
        <v>4</v>
      </c>
      <c r="AL27" s="1">
        <v>406</v>
      </c>
      <c r="AM27" s="1">
        <v>302</v>
      </c>
      <c r="AN27" s="1">
        <v>104</v>
      </c>
      <c r="AO27" s="3">
        <v>25.62</v>
      </c>
      <c r="AP27" s="1">
        <v>1</v>
      </c>
      <c r="AS27" s="100"/>
      <c r="AT27" s="1">
        <v>13</v>
      </c>
      <c r="AU27" s="1">
        <v>13165856</v>
      </c>
      <c r="AV27" s="1">
        <v>12744722</v>
      </c>
      <c r="AW27" s="1">
        <v>421134</v>
      </c>
      <c r="AX27" s="3">
        <v>3.2</v>
      </c>
      <c r="AY27" s="1">
        <v>5</v>
      </c>
    </row>
    <row r="28" spans="1:51">
      <c r="A28" s="100"/>
      <c r="B28" s="100"/>
      <c r="C28" s="102"/>
      <c r="D28" s="39">
        <v>0</v>
      </c>
      <c r="E28" s="21">
        <v>0.13</v>
      </c>
      <c r="F28" s="21">
        <v>0.06</v>
      </c>
      <c r="G28" s="21">
        <v>0.08</v>
      </c>
      <c r="H28" s="21">
        <v>0</v>
      </c>
      <c r="I28" s="1">
        <v>14</v>
      </c>
      <c r="J28" s="1">
        <v>28</v>
      </c>
      <c r="K28" s="3">
        <f t="shared" si="0"/>
        <v>61.53846153846154</v>
      </c>
      <c r="L28" s="39">
        <v>0</v>
      </c>
      <c r="M28" s="21">
        <v>0.15</v>
      </c>
      <c r="N28" s="21">
        <v>0.03</v>
      </c>
      <c r="O28" s="21">
        <v>0.12</v>
      </c>
      <c r="P28" s="21">
        <v>0</v>
      </c>
      <c r="Q28" s="1">
        <v>15</v>
      </c>
      <c r="R28" s="1">
        <v>30</v>
      </c>
      <c r="S28" s="73">
        <f t="shared" si="1"/>
        <v>80</v>
      </c>
      <c r="T28" s="21">
        <v>0</v>
      </c>
      <c r="U28" s="3">
        <v>0.04</v>
      </c>
      <c r="V28" s="1">
        <v>0.04</v>
      </c>
      <c r="W28" s="3">
        <v>0</v>
      </c>
      <c r="X28" s="3">
        <v>0</v>
      </c>
      <c r="Y28" s="1">
        <v>14</v>
      </c>
      <c r="Z28" s="1">
        <v>28</v>
      </c>
      <c r="AA28" s="3">
        <f t="shared" si="2"/>
        <v>0</v>
      </c>
      <c r="AB28" s="21">
        <v>0</v>
      </c>
      <c r="AC28" s="1">
        <v>0.02</v>
      </c>
      <c r="AD28" s="1">
        <v>0.02</v>
      </c>
      <c r="AE28" s="3">
        <v>0</v>
      </c>
      <c r="AF28" s="3">
        <v>0</v>
      </c>
      <c r="AG28" s="1">
        <v>14</v>
      </c>
      <c r="AH28" s="1">
        <v>28</v>
      </c>
      <c r="AI28" s="3">
        <f t="shared" si="3"/>
        <v>0</v>
      </c>
      <c r="AK28" s="1">
        <v>4</v>
      </c>
      <c r="AL28" s="1">
        <v>333</v>
      </c>
      <c r="AM28" s="1">
        <v>238</v>
      </c>
      <c r="AN28" s="1">
        <v>95</v>
      </c>
      <c r="AO28" s="3">
        <v>28.53</v>
      </c>
      <c r="AP28" s="1">
        <v>1</v>
      </c>
      <c r="AS28" s="100"/>
      <c r="AT28" s="4">
        <v>12</v>
      </c>
      <c r="AU28" s="4">
        <v>3693698</v>
      </c>
      <c r="AV28" s="4">
        <v>3471365</v>
      </c>
      <c r="AW28" s="4">
        <v>222333</v>
      </c>
      <c r="AX28" s="5">
        <v>6.02</v>
      </c>
      <c r="AY28" s="4">
        <v>5</v>
      </c>
    </row>
    <row r="29" spans="1:51">
      <c r="A29" s="100"/>
      <c r="B29" s="100"/>
      <c r="C29" s="104">
        <v>3</v>
      </c>
      <c r="D29" s="32">
        <v>0</v>
      </c>
      <c r="E29" s="32">
        <v>0.27</v>
      </c>
      <c r="F29" s="32">
        <v>0.11</v>
      </c>
      <c r="G29" s="32">
        <v>0.16</v>
      </c>
      <c r="H29" s="49">
        <v>0</v>
      </c>
      <c r="I29" s="71">
        <v>26</v>
      </c>
      <c r="J29" s="71">
        <v>78</v>
      </c>
      <c r="K29" s="5">
        <f t="shared" si="0"/>
        <v>59.259259259259252</v>
      </c>
      <c r="L29" s="32">
        <v>0</v>
      </c>
      <c r="M29" s="32">
        <v>0.09</v>
      </c>
      <c r="N29" s="32">
        <v>0.03</v>
      </c>
      <c r="O29" s="32">
        <v>0.06</v>
      </c>
      <c r="P29" s="49">
        <v>0</v>
      </c>
      <c r="Q29" s="71">
        <v>18</v>
      </c>
      <c r="R29" s="71">
        <v>54</v>
      </c>
      <c r="S29" s="74">
        <f t="shared" si="1"/>
        <v>66.666666666666657</v>
      </c>
      <c r="T29" s="32">
        <v>0</v>
      </c>
      <c r="U29" s="5">
        <v>0.1</v>
      </c>
      <c r="V29" s="4">
        <v>0.09</v>
      </c>
      <c r="W29" s="5">
        <v>0</v>
      </c>
      <c r="X29" s="5">
        <v>0</v>
      </c>
      <c r="Y29" s="4">
        <v>27</v>
      </c>
      <c r="Z29" s="4">
        <v>81</v>
      </c>
      <c r="AA29" s="5">
        <f t="shared" si="2"/>
        <v>0</v>
      </c>
      <c r="AB29" s="32">
        <v>0</v>
      </c>
      <c r="AC29" s="4">
        <v>0.04</v>
      </c>
      <c r="AD29" s="4">
        <v>0.04</v>
      </c>
      <c r="AE29" s="5">
        <v>0</v>
      </c>
      <c r="AF29" s="5">
        <v>0</v>
      </c>
      <c r="AG29" s="4">
        <v>18</v>
      </c>
      <c r="AH29" s="4">
        <v>54</v>
      </c>
      <c r="AI29" s="5">
        <f t="shared" si="3"/>
        <v>0</v>
      </c>
      <c r="AK29" s="4">
        <v>3</v>
      </c>
      <c r="AL29" s="4">
        <v>218</v>
      </c>
      <c r="AM29" s="4">
        <v>161</v>
      </c>
      <c r="AN29" s="4">
        <v>57</v>
      </c>
      <c r="AO29" s="5">
        <v>26.15</v>
      </c>
      <c r="AP29" s="4">
        <v>1</v>
      </c>
      <c r="AS29" s="101"/>
      <c r="AT29" s="4">
        <v>12</v>
      </c>
      <c r="AU29" s="4">
        <v>3219170</v>
      </c>
      <c r="AV29" s="4">
        <v>3015658</v>
      </c>
      <c r="AW29" s="4">
        <v>203512</v>
      </c>
      <c r="AX29" s="5">
        <v>6.32</v>
      </c>
      <c r="AY29" s="4">
        <v>5</v>
      </c>
    </row>
    <row r="30" spans="1:51">
      <c r="A30" s="100"/>
      <c r="B30" s="100"/>
      <c r="C30" s="102"/>
      <c r="D30" s="32">
        <v>0</v>
      </c>
      <c r="E30" s="32">
        <v>0.09</v>
      </c>
      <c r="F30" s="32">
        <v>0.02</v>
      </c>
      <c r="G30" s="32">
        <v>7.0000000000000007E-2</v>
      </c>
      <c r="H30" s="32">
        <v>0</v>
      </c>
      <c r="I30" s="4">
        <v>22</v>
      </c>
      <c r="J30" s="4">
        <v>66</v>
      </c>
      <c r="K30" s="5">
        <f t="shared" si="0"/>
        <v>77.777777777777786</v>
      </c>
      <c r="L30" s="32">
        <v>0</v>
      </c>
      <c r="M30" s="32">
        <v>0.11</v>
      </c>
      <c r="N30" s="32">
        <v>0.01</v>
      </c>
      <c r="O30" s="32">
        <v>0.1</v>
      </c>
      <c r="P30" s="32">
        <v>0</v>
      </c>
      <c r="Q30" s="4">
        <v>18</v>
      </c>
      <c r="R30" s="4">
        <v>54</v>
      </c>
      <c r="S30" s="74">
        <f t="shared" si="1"/>
        <v>90.909090909090921</v>
      </c>
      <c r="T30" s="32">
        <v>0</v>
      </c>
      <c r="U30" s="5">
        <v>0.02</v>
      </c>
      <c r="V30" s="4">
        <v>0.02</v>
      </c>
      <c r="W30" s="5">
        <v>0</v>
      </c>
      <c r="X30" s="5">
        <v>0</v>
      </c>
      <c r="Y30" s="4">
        <v>22</v>
      </c>
      <c r="Z30" s="4">
        <v>66</v>
      </c>
      <c r="AA30" s="5">
        <f t="shared" si="2"/>
        <v>0</v>
      </c>
      <c r="AB30" s="32">
        <v>0</v>
      </c>
      <c r="AC30" s="4">
        <v>0.01</v>
      </c>
      <c r="AD30" s="4">
        <v>0.01</v>
      </c>
      <c r="AE30" s="5">
        <v>0</v>
      </c>
      <c r="AF30" s="5">
        <v>0</v>
      </c>
      <c r="AG30" s="4">
        <v>18</v>
      </c>
      <c r="AH30" s="4">
        <v>54</v>
      </c>
      <c r="AI30" s="5">
        <f t="shared" si="3"/>
        <v>0</v>
      </c>
      <c r="AK30" s="4">
        <v>3</v>
      </c>
      <c r="AL30" s="4">
        <v>209</v>
      </c>
      <c r="AM30" s="4">
        <v>157</v>
      </c>
      <c r="AN30" s="4">
        <v>52</v>
      </c>
      <c r="AO30" s="5">
        <v>24.88</v>
      </c>
      <c r="AP30" s="4">
        <v>1</v>
      </c>
      <c r="AS30" s="68"/>
      <c r="AT30" s="42">
        <f t="shared" ref="AT30:AY30" si="10">AVERAGE(AT22:AT29)</f>
        <v>12.5</v>
      </c>
      <c r="AU30" s="42">
        <f t="shared" si="10"/>
        <v>7111635.125</v>
      </c>
      <c r="AV30" s="42">
        <f t="shared" si="10"/>
        <v>6775002.75</v>
      </c>
      <c r="AW30" s="42">
        <f t="shared" si="10"/>
        <v>336632.375</v>
      </c>
      <c r="AX30" s="8">
        <f t="shared" si="10"/>
        <v>5.4637500000000001</v>
      </c>
      <c r="AY30" s="42">
        <f t="shared" si="10"/>
        <v>4.75</v>
      </c>
    </row>
    <row r="31" spans="1:51">
      <c r="A31" s="100"/>
      <c r="B31" s="101"/>
      <c r="C31" s="41"/>
      <c r="D31" s="33">
        <f t="shared" ref="D31:AI31" si="11">AVERAGE(D27:D30)</f>
        <v>0</v>
      </c>
      <c r="E31" s="33">
        <f t="shared" si="11"/>
        <v>0.14499999999999999</v>
      </c>
      <c r="F31" s="33">
        <f t="shared" si="11"/>
        <v>4.9999999999999996E-2</v>
      </c>
      <c r="G31" s="33">
        <f t="shared" si="11"/>
        <v>9.5000000000000015E-2</v>
      </c>
      <c r="H31" s="33">
        <f t="shared" si="11"/>
        <v>0</v>
      </c>
      <c r="I31" s="68">
        <f t="shared" si="11"/>
        <v>19.5</v>
      </c>
      <c r="J31" s="68">
        <f t="shared" si="11"/>
        <v>51</v>
      </c>
      <c r="K31" s="8">
        <f t="shared" si="11"/>
        <v>69.088319088319082</v>
      </c>
      <c r="L31" s="33">
        <f t="shared" si="11"/>
        <v>0</v>
      </c>
      <c r="M31" s="33">
        <f t="shared" si="11"/>
        <v>0.13</v>
      </c>
      <c r="N31" s="33">
        <f t="shared" si="11"/>
        <v>0.03</v>
      </c>
      <c r="O31" s="33">
        <f t="shared" si="11"/>
        <v>0.1</v>
      </c>
      <c r="P31" s="33">
        <f t="shared" si="11"/>
        <v>0</v>
      </c>
      <c r="Q31" s="68">
        <f t="shared" si="11"/>
        <v>17</v>
      </c>
      <c r="R31" s="68">
        <f t="shared" si="11"/>
        <v>43</v>
      </c>
      <c r="S31" s="75">
        <f t="shared" si="11"/>
        <v>77.040998217468797</v>
      </c>
      <c r="T31" s="33">
        <f t="shared" si="11"/>
        <v>0</v>
      </c>
      <c r="U31" s="8">
        <f t="shared" si="11"/>
        <v>4.4999999999999998E-2</v>
      </c>
      <c r="V31" s="33">
        <f t="shared" si="11"/>
        <v>4.2499999999999996E-2</v>
      </c>
      <c r="W31" s="8">
        <f t="shared" si="11"/>
        <v>0</v>
      </c>
      <c r="X31" s="8">
        <f t="shared" si="11"/>
        <v>0</v>
      </c>
      <c r="Y31" s="68">
        <f t="shared" si="11"/>
        <v>19.75</v>
      </c>
      <c r="Z31" s="68">
        <f t="shared" si="11"/>
        <v>51.75</v>
      </c>
      <c r="AA31" s="8">
        <f t="shared" si="11"/>
        <v>0</v>
      </c>
      <c r="AB31" s="33">
        <f t="shared" si="11"/>
        <v>0</v>
      </c>
      <c r="AC31" s="33">
        <f t="shared" si="11"/>
        <v>2.75E-2</v>
      </c>
      <c r="AD31" s="33">
        <f t="shared" si="11"/>
        <v>2.75E-2</v>
      </c>
      <c r="AE31" s="33">
        <f t="shared" si="11"/>
        <v>0</v>
      </c>
      <c r="AF31" s="33">
        <f t="shared" si="11"/>
        <v>0</v>
      </c>
      <c r="AG31" s="68">
        <f t="shared" si="11"/>
        <v>16.5</v>
      </c>
      <c r="AH31" s="68">
        <f t="shared" si="11"/>
        <v>42</v>
      </c>
      <c r="AI31" s="8">
        <f t="shared" si="11"/>
        <v>0</v>
      </c>
      <c r="AK31" s="68"/>
      <c r="AL31" s="68"/>
      <c r="AM31" s="68"/>
      <c r="AN31" s="68"/>
      <c r="AO31" s="8"/>
      <c r="AP31" s="68"/>
      <c r="AS31" s="105">
        <v>20</v>
      </c>
      <c r="AT31" s="1">
        <v>17</v>
      </c>
      <c r="AU31" s="1">
        <v>144736307</v>
      </c>
      <c r="AV31" s="1">
        <v>141750388</v>
      </c>
      <c r="AW31" s="1">
        <v>2985919</v>
      </c>
      <c r="AX31" s="3">
        <v>2.06</v>
      </c>
      <c r="AY31" s="1">
        <v>8</v>
      </c>
    </row>
    <row r="32" spans="1:51">
      <c r="A32" s="100"/>
      <c r="B32" s="105">
        <v>10</v>
      </c>
      <c r="C32" s="104">
        <v>3</v>
      </c>
      <c r="D32" s="39">
        <v>0</v>
      </c>
      <c r="E32" s="21">
        <v>15.48</v>
      </c>
      <c r="F32" s="21">
        <v>0.21</v>
      </c>
      <c r="G32" s="21">
        <v>15.26</v>
      </c>
      <c r="H32" s="21">
        <v>0.01</v>
      </c>
      <c r="I32" s="1">
        <v>342</v>
      </c>
      <c r="J32" s="1">
        <v>1026</v>
      </c>
      <c r="K32" s="3">
        <f t="shared" si="0"/>
        <v>98.57881136950904</v>
      </c>
      <c r="L32" s="39">
        <v>0</v>
      </c>
      <c r="M32" s="21">
        <v>13.97</v>
      </c>
      <c r="N32" s="21">
        <v>0.26</v>
      </c>
      <c r="O32" s="21">
        <v>13.7</v>
      </c>
      <c r="P32" s="21">
        <v>0.01</v>
      </c>
      <c r="Q32" s="1">
        <v>318</v>
      </c>
      <c r="R32" s="1">
        <v>954</v>
      </c>
      <c r="S32" s="73">
        <f t="shared" si="1"/>
        <v>98.06728704366499</v>
      </c>
      <c r="T32" s="21">
        <v>0</v>
      </c>
      <c r="U32" s="3">
        <v>0.38</v>
      </c>
      <c r="V32" s="1">
        <v>0.23</v>
      </c>
      <c r="W32" s="3">
        <v>0.14000000000000001</v>
      </c>
      <c r="X32" s="3">
        <v>0.01</v>
      </c>
      <c r="Y32" s="1">
        <v>360</v>
      </c>
      <c r="Z32" s="1">
        <v>1080</v>
      </c>
      <c r="AA32" s="3">
        <f t="shared" si="2"/>
        <v>36.842105263157897</v>
      </c>
      <c r="AB32" s="21">
        <v>0</v>
      </c>
      <c r="AC32" s="1">
        <v>0.42</v>
      </c>
      <c r="AD32" s="1">
        <v>0.28999999999999998</v>
      </c>
      <c r="AE32" s="3">
        <v>0.13</v>
      </c>
      <c r="AF32" s="3">
        <v>0.01</v>
      </c>
      <c r="AG32" s="1">
        <v>321</v>
      </c>
      <c r="AH32" s="1">
        <v>963</v>
      </c>
      <c r="AI32" s="3">
        <f t="shared" si="3"/>
        <v>30.952380952380953</v>
      </c>
      <c r="AK32" s="1">
        <v>8</v>
      </c>
      <c r="AL32" s="1">
        <v>75466</v>
      </c>
      <c r="AM32" s="1">
        <v>66411</v>
      </c>
      <c r="AN32" s="1">
        <v>9055</v>
      </c>
      <c r="AO32" s="3">
        <v>12</v>
      </c>
      <c r="AP32" s="1">
        <v>4</v>
      </c>
      <c r="AS32" s="100"/>
      <c r="AT32" s="1">
        <v>17</v>
      </c>
      <c r="AU32" s="1">
        <v>139555985</v>
      </c>
      <c r="AV32" s="1">
        <v>136469011</v>
      </c>
      <c r="AW32" s="1">
        <v>3086974</v>
      </c>
      <c r="AX32" s="3">
        <v>2.21</v>
      </c>
      <c r="AY32" s="1">
        <v>6</v>
      </c>
    </row>
    <row r="33" spans="1:51">
      <c r="A33" s="100"/>
      <c r="B33" s="100"/>
      <c r="C33" s="102"/>
      <c r="D33" s="39">
        <v>0</v>
      </c>
      <c r="E33" s="21">
        <v>16.88</v>
      </c>
      <c r="F33" s="21">
        <v>0.25</v>
      </c>
      <c r="G33" s="21">
        <v>16.62</v>
      </c>
      <c r="H33" s="21">
        <v>0.01</v>
      </c>
      <c r="I33" s="1">
        <v>377</v>
      </c>
      <c r="J33" s="1">
        <v>1131</v>
      </c>
      <c r="K33" s="3">
        <f t="shared" si="0"/>
        <v>98.45971563981044</v>
      </c>
      <c r="L33" s="39">
        <v>0</v>
      </c>
      <c r="M33" s="21">
        <v>11.96</v>
      </c>
      <c r="N33" s="21">
        <v>0.28000000000000003</v>
      </c>
      <c r="O33" s="21">
        <v>11.67</v>
      </c>
      <c r="P33" s="21">
        <v>0.01</v>
      </c>
      <c r="Q33" s="1">
        <v>317</v>
      </c>
      <c r="R33" s="1">
        <v>951</v>
      </c>
      <c r="S33" s="73">
        <f t="shared" si="1"/>
        <v>97.575250836120404</v>
      </c>
      <c r="T33" s="21">
        <v>0</v>
      </c>
      <c r="U33" s="3">
        <v>0.46</v>
      </c>
      <c r="V33" s="1">
        <v>0.32</v>
      </c>
      <c r="W33" s="3">
        <v>0.14000000000000001</v>
      </c>
      <c r="X33" s="3">
        <v>0.01</v>
      </c>
      <c r="Y33" s="1">
        <v>363</v>
      </c>
      <c r="Z33" s="1">
        <v>1089</v>
      </c>
      <c r="AA33" s="3">
        <f t="shared" si="2"/>
        <v>30.434782608695656</v>
      </c>
      <c r="AB33" s="21">
        <v>0</v>
      </c>
      <c r="AC33" s="1">
        <v>2.46</v>
      </c>
      <c r="AD33" s="1">
        <v>2.31</v>
      </c>
      <c r="AE33" s="3">
        <v>0.14000000000000001</v>
      </c>
      <c r="AF33" s="3">
        <v>0.01</v>
      </c>
      <c r="AG33" s="1">
        <v>368</v>
      </c>
      <c r="AH33" s="1">
        <v>1104</v>
      </c>
      <c r="AI33" s="3">
        <f t="shared" si="3"/>
        <v>5.691056910569106</v>
      </c>
      <c r="AK33" s="1">
        <v>8</v>
      </c>
      <c r="AL33" s="1">
        <v>87267</v>
      </c>
      <c r="AM33" s="1">
        <v>77969</v>
      </c>
      <c r="AN33" s="1">
        <v>9298</v>
      </c>
      <c r="AO33" s="3">
        <v>10.65</v>
      </c>
      <c r="AP33" s="1">
        <v>3</v>
      </c>
      <c r="AS33" s="100"/>
      <c r="AT33" s="4">
        <v>16</v>
      </c>
      <c r="AU33" s="4">
        <v>57309719</v>
      </c>
      <c r="AV33" s="4">
        <v>55666540</v>
      </c>
      <c r="AW33" s="4">
        <v>1643179</v>
      </c>
      <c r="AX33" s="5">
        <v>2.87</v>
      </c>
      <c r="AY33" s="4">
        <v>6</v>
      </c>
    </row>
    <row r="34" spans="1:51">
      <c r="A34" s="100"/>
      <c r="B34" s="100"/>
      <c r="C34" s="104">
        <v>4</v>
      </c>
      <c r="D34" s="32">
        <v>0</v>
      </c>
      <c r="E34" s="32">
        <v>7.49</v>
      </c>
      <c r="F34" s="32">
        <v>0.86</v>
      </c>
      <c r="G34" s="32">
        <v>6.63</v>
      </c>
      <c r="H34" s="32">
        <v>0.01</v>
      </c>
      <c r="I34" s="4">
        <v>242</v>
      </c>
      <c r="J34" s="4">
        <v>968</v>
      </c>
      <c r="K34" s="5">
        <f t="shared" si="0"/>
        <v>88.518024032042717</v>
      </c>
      <c r="L34" s="32">
        <v>0</v>
      </c>
      <c r="M34" s="32">
        <v>7.34</v>
      </c>
      <c r="N34" s="32">
        <v>1.29</v>
      </c>
      <c r="O34" s="32">
        <v>6.04</v>
      </c>
      <c r="P34" s="32">
        <v>0.01</v>
      </c>
      <c r="Q34" s="4">
        <v>211</v>
      </c>
      <c r="R34" s="4">
        <v>844</v>
      </c>
      <c r="S34" s="74">
        <f t="shared" si="1"/>
        <v>82.288828337874662</v>
      </c>
      <c r="T34" s="32">
        <v>0</v>
      </c>
      <c r="U34" s="5">
        <v>0.38</v>
      </c>
      <c r="V34" s="4">
        <v>0.33</v>
      </c>
      <c r="W34" s="5">
        <v>0.04</v>
      </c>
      <c r="X34" s="5">
        <v>0.01</v>
      </c>
      <c r="Y34" s="4">
        <v>207</v>
      </c>
      <c r="Z34" s="4">
        <v>828</v>
      </c>
      <c r="AA34" s="5">
        <f t="shared" si="2"/>
        <v>10.526315789473683</v>
      </c>
      <c r="AB34" s="32">
        <v>0</v>
      </c>
      <c r="AC34" s="4">
        <v>0.26</v>
      </c>
      <c r="AD34" s="4">
        <v>0.28000000000000003</v>
      </c>
      <c r="AE34" s="5">
        <v>7.0000000000000007E-2</v>
      </c>
      <c r="AF34" s="5">
        <v>0.01</v>
      </c>
      <c r="AG34" s="4">
        <v>234</v>
      </c>
      <c r="AH34" s="4">
        <v>936</v>
      </c>
      <c r="AI34" s="5">
        <f t="shared" si="3"/>
        <v>26.923076923076927</v>
      </c>
      <c r="AK34" s="4">
        <v>7</v>
      </c>
      <c r="AL34" s="4">
        <v>44064</v>
      </c>
      <c r="AM34" s="4">
        <v>40366</v>
      </c>
      <c r="AN34" s="4">
        <v>3698</v>
      </c>
      <c r="AO34" s="5">
        <v>8.39</v>
      </c>
      <c r="AP34" s="4">
        <v>4</v>
      </c>
      <c r="AS34" s="100"/>
      <c r="AT34" s="4">
        <v>16</v>
      </c>
      <c r="AU34" s="4">
        <v>75178882</v>
      </c>
      <c r="AV34" s="4">
        <v>73392578</v>
      </c>
      <c r="AW34" s="4">
        <v>1786304</v>
      </c>
      <c r="AX34" s="5">
        <v>2.38</v>
      </c>
      <c r="AY34" s="4">
        <v>6</v>
      </c>
    </row>
    <row r="35" spans="1:51">
      <c r="A35" s="100"/>
      <c r="B35" s="100"/>
      <c r="C35" s="102"/>
      <c r="D35" s="32">
        <v>0</v>
      </c>
      <c r="E35" s="32">
        <v>7.21</v>
      </c>
      <c r="F35" s="32">
        <v>1.1499999999999999</v>
      </c>
      <c r="G35" s="32">
        <v>6.05</v>
      </c>
      <c r="H35" s="32">
        <v>0.01</v>
      </c>
      <c r="I35" s="4">
        <v>272</v>
      </c>
      <c r="J35" s="4">
        <v>1088</v>
      </c>
      <c r="K35" s="5">
        <f t="shared" si="0"/>
        <v>83.91123439667129</v>
      </c>
      <c r="L35" s="32">
        <v>0</v>
      </c>
      <c r="M35" s="32">
        <v>7.33</v>
      </c>
      <c r="N35" s="32">
        <v>1.81</v>
      </c>
      <c r="O35" s="32">
        <v>5.51</v>
      </c>
      <c r="P35" s="32">
        <v>0.01</v>
      </c>
      <c r="Q35" s="4">
        <v>243</v>
      </c>
      <c r="R35" s="4">
        <v>972</v>
      </c>
      <c r="S35" s="74">
        <f t="shared" si="1"/>
        <v>75.170532060027284</v>
      </c>
      <c r="T35" s="32">
        <v>0</v>
      </c>
      <c r="U35" s="5">
        <v>1.24</v>
      </c>
      <c r="V35" s="4">
        <v>1.18</v>
      </c>
      <c r="W35" s="5">
        <v>0.05</v>
      </c>
      <c r="X35" s="5">
        <v>0.01</v>
      </c>
      <c r="Y35" s="4">
        <v>259</v>
      </c>
      <c r="Z35" s="4">
        <v>1036</v>
      </c>
      <c r="AA35" s="5">
        <f t="shared" si="2"/>
        <v>4.0322580645161299</v>
      </c>
      <c r="AB35" s="32">
        <v>0</v>
      </c>
      <c r="AC35" s="4">
        <v>1.87</v>
      </c>
      <c r="AD35" s="4">
        <v>1.81</v>
      </c>
      <c r="AE35" s="5">
        <v>0.06</v>
      </c>
      <c r="AF35" s="5">
        <v>0.01</v>
      </c>
      <c r="AG35" s="4">
        <v>251</v>
      </c>
      <c r="AH35" s="4">
        <v>1004</v>
      </c>
      <c r="AI35" s="5">
        <f t="shared" si="3"/>
        <v>3.2085561497326198</v>
      </c>
      <c r="AK35" s="4">
        <v>7</v>
      </c>
      <c r="AL35" s="4">
        <v>32762</v>
      </c>
      <c r="AM35" s="4">
        <v>28064</v>
      </c>
      <c r="AN35" s="4">
        <v>4698</v>
      </c>
      <c r="AO35" s="5">
        <v>14.34</v>
      </c>
      <c r="AP35" s="4">
        <v>5</v>
      </c>
      <c r="AS35" s="100"/>
      <c r="AT35" s="1">
        <v>17</v>
      </c>
      <c r="AU35" s="1">
        <v>128817350</v>
      </c>
      <c r="AV35" s="1">
        <v>125907608</v>
      </c>
      <c r="AW35" s="1">
        <v>2909742</v>
      </c>
      <c r="AX35" s="3">
        <v>2.2599999999999998</v>
      </c>
      <c r="AY35" s="1">
        <v>7</v>
      </c>
    </row>
    <row r="36" spans="1:51">
      <c r="A36" s="100"/>
      <c r="B36" s="100"/>
      <c r="C36" s="41"/>
      <c r="D36" s="38">
        <f t="shared" ref="D36:AI36" si="12">AVERAGE(D32:D35)</f>
        <v>0</v>
      </c>
      <c r="E36" s="38">
        <f t="shared" si="12"/>
        <v>11.765000000000001</v>
      </c>
      <c r="F36" s="38">
        <f t="shared" si="12"/>
        <v>0.61749999999999994</v>
      </c>
      <c r="G36" s="38">
        <f t="shared" si="12"/>
        <v>11.14</v>
      </c>
      <c r="H36" s="38">
        <f t="shared" si="12"/>
        <v>0.01</v>
      </c>
      <c r="I36" s="69">
        <f t="shared" si="12"/>
        <v>308.25</v>
      </c>
      <c r="J36" s="69">
        <f t="shared" si="12"/>
        <v>1053.25</v>
      </c>
      <c r="K36" s="8">
        <f t="shared" si="12"/>
        <v>92.366946359508376</v>
      </c>
      <c r="L36" s="38">
        <f t="shared" si="12"/>
        <v>0</v>
      </c>
      <c r="M36" s="38">
        <f t="shared" si="12"/>
        <v>10.149999999999999</v>
      </c>
      <c r="N36" s="38">
        <f t="shared" si="12"/>
        <v>0.91</v>
      </c>
      <c r="O36" s="38">
        <f t="shared" si="12"/>
        <v>9.2299999999999986</v>
      </c>
      <c r="P36" s="38">
        <f t="shared" si="12"/>
        <v>0.01</v>
      </c>
      <c r="Q36" s="69">
        <f t="shared" si="12"/>
        <v>272.25</v>
      </c>
      <c r="R36" s="69">
        <f t="shared" si="12"/>
        <v>930.25</v>
      </c>
      <c r="S36" s="75">
        <f t="shared" si="12"/>
        <v>88.275474569421846</v>
      </c>
      <c r="T36" s="33">
        <f t="shared" si="12"/>
        <v>0</v>
      </c>
      <c r="U36" s="8">
        <f t="shared" si="12"/>
        <v>0.61499999999999999</v>
      </c>
      <c r="V36" s="33">
        <f t="shared" si="12"/>
        <v>0.51500000000000001</v>
      </c>
      <c r="W36" s="8">
        <f t="shared" si="12"/>
        <v>9.2499999999999999E-2</v>
      </c>
      <c r="X36" s="8">
        <f t="shared" si="12"/>
        <v>0.01</v>
      </c>
      <c r="Y36" s="68">
        <f t="shared" si="12"/>
        <v>297.25</v>
      </c>
      <c r="Z36" s="68">
        <f t="shared" si="12"/>
        <v>1008.25</v>
      </c>
      <c r="AA36" s="8">
        <f t="shared" si="12"/>
        <v>20.45886543146084</v>
      </c>
      <c r="AB36" s="33">
        <f t="shared" si="12"/>
        <v>0</v>
      </c>
      <c r="AC36" s="33">
        <f t="shared" si="12"/>
        <v>1.2524999999999999</v>
      </c>
      <c r="AD36" s="33">
        <f t="shared" si="12"/>
        <v>1.1724999999999999</v>
      </c>
      <c r="AE36" s="33">
        <f t="shared" si="12"/>
        <v>0.1</v>
      </c>
      <c r="AF36" s="33">
        <f t="shared" si="12"/>
        <v>0.01</v>
      </c>
      <c r="AG36" s="68">
        <f t="shared" si="12"/>
        <v>293.5</v>
      </c>
      <c r="AH36" s="68">
        <f t="shared" si="12"/>
        <v>1001.75</v>
      </c>
      <c r="AI36" s="8">
        <f t="shared" si="12"/>
        <v>16.6937677339399</v>
      </c>
      <c r="AK36" s="69"/>
      <c r="AL36" s="69"/>
      <c r="AM36" s="69"/>
      <c r="AN36" s="69"/>
      <c r="AO36" s="37"/>
      <c r="AP36" s="69"/>
      <c r="AS36" s="100"/>
      <c r="AT36" s="1">
        <v>17</v>
      </c>
      <c r="AU36" s="1">
        <v>129413430</v>
      </c>
      <c r="AV36" s="1">
        <v>126506471</v>
      </c>
      <c r="AW36" s="1">
        <v>2906959</v>
      </c>
      <c r="AX36" s="3">
        <v>2.25</v>
      </c>
      <c r="AY36" s="1">
        <v>6</v>
      </c>
    </row>
    <row r="37" spans="1:51">
      <c r="A37" s="100"/>
      <c r="B37" s="106">
        <v>15</v>
      </c>
      <c r="C37" s="107">
        <v>3</v>
      </c>
      <c r="D37" s="21">
        <v>0</v>
      </c>
      <c r="E37" s="21">
        <v>1769.08</v>
      </c>
      <c r="F37" s="21">
        <v>291.73</v>
      </c>
      <c r="G37" s="3">
        <v>1477.03</v>
      </c>
      <c r="H37" s="3">
        <v>0.32</v>
      </c>
      <c r="I37" s="1">
        <v>6878</v>
      </c>
      <c r="J37" s="1">
        <v>20634</v>
      </c>
      <c r="K37" s="3">
        <f t="shared" si="0"/>
        <v>83.491419268772475</v>
      </c>
      <c r="L37" s="21">
        <v>0</v>
      </c>
      <c r="M37" s="21">
        <v>1844.57</v>
      </c>
      <c r="N37" s="21">
        <v>350.76</v>
      </c>
      <c r="O37" s="21">
        <v>1493.37</v>
      </c>
      <c r="P37" s="21">
        <v>0.43</v>
      </c>
      <c r="Q37" s="1">
        <v>6779</v>
      </c>
      <c r="R37" s="1">
        <v>20337</v>
      </c>
      <c r="S37" s="73">
        <f t="shared" si="1"/>
        <v>80.960332218348981</v>
      </c>
      <c r="T37" s="21">
        <v>0</v>
      </c>
      <c r="U37" s="21">
        <v>105.3</v>
      </c>
      <c r="V37" s="21">
        <v>103.26</v>
      </c>
      <c r="W37" s="21">
        <v>1.88</v>
      </c>
      <c r="X37" s="21">
        <v>0.17</v>
      </c>
      <c r="Y37" s="1">
        <v>7396</v>
      </c>
      <c r="Z37" s="1">
        <v>22188</v>
      </c>
      <c r="AA37" s="3">
        <f t="shared" si="2"/>
        <v>1.7853751187084519</v>
      </c>
      <c r="AB37" s="21">
        <v>0</v>
      </c>
      <c r="AC37" s="3">
        <v>279.01</v>
      </c>
      <c r="AD37" s="21">
        <v>276.64</v>
      </c>
      <c r="AE37" s="3">
        <v>2.14</v>
      </c>
      <c r="AF37" s="3">
        <v>0.22</v>
      </c>
      <c r="AG37" s="1">
        <v>7935</v>
      </c>
      <c r="AH37" s="1">
        <v>23805</v>
      </c>
      <c r="AI37" s="3">
        <f t="shared" si="3"/>
        <v>0.76699759865237804</v>
      </c>
      <c r="AK37" s="1">
        <v>13</v>
      </c>
      <c r="AL37" s="1">
        <v>12635987</v>
      </c>
      <c r="AM37" s="1">
        <v>12252218</v>
      </c>
      <c r="AN37" s="1">
        <v>383769</v>
      </c>
      <c r="AO37" s="3">
        <v>3.04</v>
      </c>
      <c r="AP37" s="1">
        <v>3</v>
      </c>
      <c r="AS37" s="100"/>
      <c r="AT37" s="4">
        <v>16</v>
      </c>
      <c r="AU37" s="4">
        <v>45006927</v>
      </c>
      <c r="AV37" s="4">
        <v>43743824</v>
      </c>
      <c r="AW37" s="4">
        <v>1263103</v>
      </c>
      <c r="AX37" s="5">
        <v>2.81</v>
      </c>
      <c r="AY37" s="4">
        <v>6</v>
      </c>
    </row>
    <row r="38" spans="1:51">
      <c r="A38" s="100"/>
      <c r="B38" s="106"/>
      <c r="C38" s="107"/>
      <c r="D38" s="21">
        <v>0</v>
      </c>
      <c r="E38" s="21">
        <v>2058.13</v>
      </c>
      <c r="F38" s="21">
        <v>260.45999999999998</v>
      </c>
      <c r="G38" s="3">
        <v>1797.35</v>
      </c>
      <c r="H38" s="3">
        <v>0.33</v>
      </c>
      <c r="I38" s="1">
        <v>6449</v>
      </c>
      <c r="J38" s="1">
        <v>19347</v>
      </c>
      <c r="K38" s="3">
        <f t="shared" si="0"/>
        <v>87.32927463279772</v>
      </c>
      <c r="L38" s="21">
        <v>0</v>
      </c>
      <c r="M38" s="21">
        <v>2098.56</v>
      </c>
      <c r="N38" s="21">
        <v>340.55</v>
      </c>
      <c r="O38" s="21">
        <v>1757.55</v>
      </c>
      <c r="P38" s="21">
        <v>0.47</v>
      </c>
      <c r="Q38" s="1">
        <v>6309</v>
      </c>
      <c r="R38" s="1">
        <v>18927</v>
      </c>
      <c r="S38" s="73">
        <f t="shared" si="1"/>
        <v>83.750285910338519</v>
      </c>
      <c r="T38" s="21">
        <v>0</v>
      </c>
      <c r="U38" s="21">
        <v>126.18</v>
      </c>
      <c r="V38" s="21">
        <v>123.77</v>
      </c>
      <c r="W38" s="21">
        <v>2.2400000000000002</v>
      </c>
      <c r="X38" s="21">
        <v>0.17</v>
      </c>
      <c r="Y38" s="1">
        <v>6887</v>
      </c>
      <c r="Z38" s="1">
        <v>20661</v>
      </c>
      <c r="AA38" s="3">
        <f t="shared" si="2"/>
        <v>1.7752417181803772</v>
      </c>
      <c r="AB38" s="21">
        <v>0</v>
      </c>
      <c r="AC38" s="3">
        <v>273.57</v>
      </c>
      <c r="AD38" s="21">
        <v>270.93</v>
      </c>
      <c r="AE38" s="3">
        <v>2.41</v>
      </c>
      <c r="AF38" s="3">
        <v>0.22</v>
      </c>
      <c r="AG38" s="1">
        <v>6754</v>
      </c>
      <c r="AH38" s="1">
        <v>20262</v>
      </c>
      <c r="AI38" s="3">
        <f t="shared" si="3"/>
        <v>0.88094454801330557</v>
      </c>
      <c r="AK38" s="1">
        <v>13</v>
      </c>
      <c r="AL38" s="1">
        <v>13165856</v>
      </c>
      <c r="AM38" s="1">
        <v>12744722</v>
      </c>
      <c r="AN38" s="1">
        <v>421134</v>
      </c>
      <c r="AO38" s="3">
        <v>3.2</v>
      </c>
      <c r="AP38" s="1">
        <v>5</v>
      </c>
      <c r="AS38" s="101"/>
      <c r="AT38" s="4">
        <v>16</v>
      </c>
      <c r="AU38" s="4">
        <v>61060765</v>
      </c>
      <c r="AV38" s="4">
        <v>59534763</v>
      </c>
      <c r="AW38" s="4">
        <v>1526002</v>
      </c>
      <c r="AX38" s="5">
        <v>2.5</v>
      </c>
      <c r="AY38" s="4">
        <v>7</v>
      </c>
    </row>
    <row r="39" spans="1:51">
      <c r="A39" s="100"/>
      <c r="B39" s="106"/>
      <c r="C39" s="107">
        <v>4</v>
      </c>
      <c r="D39" s="32">
        <v>0</v>
      </c>
      <c r="E39" s="32">
        <v>1727.33</v>
      </c>
      <c r="F39" s="32">
        <v>967.05</v>
      </c>
      <c r="G39" s="32">
        <v>760.05</v>
      </c>
      <c r="H39" s="32">
        <v>0.24</v>
      </c>
      <c r="I39" s="4">
        <v>4395</v>
      </c>
      <c r="J39" s="4">
        <v>17580</v>
      </c>
      <c r="K39" s="5">
        <f t="shared" si="0"/>
        <v>44.001435741867503</v>
      </c>
      <c r="L39" s="32">
        <v>0</v>
      </c>
      <c r="M39" s="32">
        <v>1228.76</v>
      </c>
      <c r="N39" s="32">
        <v>643.65</v>
      </c>
      <c r="O39" s="32">
        <v>584.83000000000004</v>
      </c>
      <c r="P39" s="32">
        <v>0.28999999999999998</v>
      </c>
      <c r="Q39" s="4">
        <v>3982</v>
      </c>
      <c r="R39" s="4">
        <v>15928</v>
      </c>
      <c r="S39" s="74">
        <f t="shared" si="1"/>
        <v>47.595136560434916</v>
      </c>
      <c r="T39" s="32">
        <v>0</v>
      </c>
      <c r="U39" s="32">
        <v>229.27</v>
      </c>
      <c r="V39" s="32">
        <v>228.47</v>
      </c>
      <c r="W39" s="32">
        <v>0.69</v>
      </c>
      <c r="X39" s="32">
        <v>0.12</v>
      </c>
      <c r="Y39" s="4">
        <v>4642</v>
      </c>
      <c r="Z39" s="4">
        <v>18568</v>
      </c>
      <c r="AA39" s="5">
        <f t="shared" si="2"/>
        <v>0.30095520565272382</v>
      </c>
      <c r="AB39" s="32">
        <v>0</v>
      </c>
      <c r="AC39" s="32">
        <v>549.78</v>
      </c>
      <c r="AD39" s="32">
        <v>548.88</v>
      </c>
      <c r="AE39" s="32">
        <v>0.71</v>
      </c>
      <c r="AF39" s="32">
        <v>0.19</v>
      </c>
      <c r="AG39" s="4">
        <v>4725</v>
      </c>
      <c r="AH39" s="4">
        <v>18900</v>
      </c>
      <c r="AI39" s="5">
        <f t="shared" si="3"/>
        <v>0.12914256611735603</v>
      </c>
      <c r="AK39" s="4">
        <v>12</v>
      </c>
      <c r="AL39" s="4">
        <v>3693698</v>
      </c>
      <c r="AM39" s="4">
        <v>3471365</v>
      </c>
      <c r="AN39" s="4">
        <v>222333</v>
      </c>
      <c r="AO39" s="5">
        <v>6.02</v>
      </c>
      <c r="AP39" s="4">
        <v>5</v>
      </c>
      <c r="AS39" s="68"/>
      <c r="AT39" s="42">
        <f t="shared" ref="AT39:AY39" si="13">AVERAGE(AT31:AT38)</f>
        <v>16.5</v>
      </c>
      <c r="AU39" s="42">
        <f t="shared" si="13"/>
        <v>97634920.625</v>
      </c>
      <c r="AV39" s="42">
        <f t="shared" si="13"/>
        <v>95371397.875</v>
      </c>
      <c r="AW39" s="42">
        <f t="shared" si="13"/>
        <v>2263522.75</v>
      </c>
      <c r="AX39" s="8">
        <f t="shared" si="13"/>
        <v>2.4175</v>
      </c>
      <c r="AY39" s="42">
        <f t="shared" si="13"/>
        <v>6.5</v>
      </c>
    </row>
    <row r="40" spans="1:51">
      <c r="A40" s="100"/>
      <c r="B40" s="106"/>
      <c r="C40" s="107"/>
      <c r="D40" s="32">
        <v>0</v>
      </c>
      <c r="E40" s="32">
        <v>1776.5</v>
      </c>
      <c r="F40" s="32">
        <v>1154.57</v>
      </c>
      <c r="G40" s="32">
        <v>621.72</v>
      </c>
      <c r="H40" s="32">
        <v>0.21</v>
      </c>
      <c r="I40" s="4">
        <v>4408</v>
      </c>
      <c r="J40" s="4">
        <v>17632</v>
      </c>
      <c r="K40" s="5">
        <f t="shared" si="0"/>
        <v>34.996904024767808</v>
      </c>
      <c r="L40" s="32">
        <v>0</v>
      </c>
      <c r="M40" s="32">
        <v>1068.3399999999999</v>
      </c>
      <c r="N40" s="32">
        <v>579.99</v>
      </c>
      <c r="O40" s="32">
        <v>488.08</v>
      </c>
      <c r="P40" s="32">
        <v>0.28000000000000003</v>
      </c>
      <c r="Q40" s="4">
        <v>3834</v>
      </c>
      <c r="R40" s="4">
        <v>15336</v>
      </c>
      <c r="S40" s="74">
        <f t="shared" si="1"/>
        <v>45.685830353632738</v>
      </c>
      <c r="T40" s="32">
        <v>0</v>
      </c>
      <c r="U40" s="32">
        <v>435.34</v>
      </c>
      <c r="V40" s="32">
        <v>434.51</v>
      </c>
      <c r="W40" s="32">
        <v>0.71</v>
      </c>
      <c r="X40" s="32">
        <v>0.12</v>
      </c>
      <c r="Y40" s="4">
        <v>4411</v>
      </c>
      <c r="Z40" s="4">
        <v>17644</v>
      </c>
      <c r="AA40" s="5">
        <f t="shared" si="2"/>
        <v>0.163090917443837</v>
      </c>
      <c r="AB40" s="32">
        <v>0</v>
      </c>
      <c r="AC40" s="5">
        <v>419.72</v>
      </c>
      <c r="AD40" s="32">
        <v>418.96</v>
      </c>
      <c r="AE40" s="5">
        <v>0.6</v>
      </c>
      <c r="AF40" s="5">
        <v>0.16</v>
      </c>
      <c r="AG40" s="4">
        <v>4293</v>
      </c>
      <c r="AH40" s="4">
        <v>17172</v>
      </c>
      <c r="AI40" s="5">
        <f t="shared" si="3"/>
        <v>0.14295244448680072</v>
      </c>
      <c r="AK40" s="4">
        <v>12</v>
      </c>
      <c r="AL40" s="4">
        <v>3219170</v>
      </c>
      <c r="AM40" s="4">
        <v>3015658</v>
      </c>
      <c r="AN40" s="4">
        <v>203512</v>
      </c>
      <c r="AO40" s="5">
        <v>6.32</v>
      </c>
      <c r="AP40" s="4">
        <v>5</v>
      </c>
    </row>
    <row r="41" spans="1:51">
      <c r="A41" s="100"/>
      <c r="B41" s="106"/>
      <c r="C41" s="42"/>
      <c r="D41" s="33">
        <f t="shared" ref="D41:AI41" si="14">AVERAGE(D37:D40)</f>
        <v>0</v>
      </c>
      <c r="E41" s="33">
        <f t="shared" si="14"/>
        <v>1832.76</v>
      </c>
      <c r="F41" s="33">
        <f t="shared" si="14"/>
        <v>668.45249999999999</v>
      </c>
      <c r="G41" s="33">
        <f t="shared" si="14"/>
        <v>1164.0375000000001</v>
      </c>
      <c r="H41" s="33">
        <f t="shared" si="14"/>
        <v>0.27500000000000002</v>
      </c>
      <c r="I41" s="68">
        <f t="shared" si="14"/>
        <v>5532.5</v>
      </c>
      <c r="J41" s="68">
        <f t="shared" si="14"/>
        <v>18798.25</v>
      </c>
      <c r="K41" s="8">
        <f t="shared" si="14"/>
        <v>62.45475841705138</v>
      </c>
      <c r="L41" s="33">
        <f t="shared" si="14"/>
        <v>0</v>
      </c>
      <c r="M41" s="33">
        <f t="shared" si="14"/>
        <v>1560.0575000000001</v>
      </c>
      <c r="N41" s="33">
        <f t="shared" si="14"/>
        <v>478.73750000000001</v>
      </c>
      <c r="O41" s="33">
        <f t="shared" si="14"/>
        <v>1080.9575</v>
      </c>
      <c r="P41" s="33">
        <f t="shared" si="14"/>
        <v>0.36749999999999999</v>
      </c>
      <c r="Q41" s="68">
        <f t="shared" si="14"/>
        <v>5226</v>
      </c>
      <c r="R41" s="68">
        <f t="shared" si="14"/>
        <v>17632</v>
      </c>
      <c r="S41" s="75">
        <f t="shared" si="14"/>
        <v>64.49789626068879</v>
      </c>
      <c r="T41" s="33">
        <f t="shared" si="14"/>
        <v>0</v>
      </c>
      <c r="U41" s="8">
        <f t="shared" si="14"/>
        <v>224.02249999999998</v>
      </c>
      <c r="V41" s="33">
        <f t="shared" si="14"/>
        <v>222.5025</v>
      </c>
      <c r="W41" s="8">
        <f t="shared" si="14"/>
        <v>1.3800000000000001</v>
      </c>
      <c r="X41" s="8">
        <f t="shared" si="14"/>
        <v>0.14500000000000002</v>
      </c>
      <c r="Y41" s="68">
        <f t="shared" si="14"/>
        <v>5834</v>
      </c>
      <c r="Z41" s="68">
        <f t="shared" si="14"/>
        <v>19765.25</v>
      </c>
      <c r="AA41" s="8">
        <f t="shared" si="14"/>
        <v>1.0061657399963475</v>
      </c>
      <c r="AB41" s="33">
        <f t="shared" si="14"/>
        <v>0</v>
      </c>
      <c r="AC41" s="33">
        <f t="shared" si="14"/>
        <v>380.52</v>
      </c>
      <c r="AD41" s="33">
        <f t="shared" si="14"/>
        <v>378.85249999999996</v>
      </c>
      <c r="AE41" s="33">
        <f t="shared" si="14"/>
        <v>1.4650000000000001</v>
      </c>
      <c r="AF41" s="33">
        <f t="shared" si="14"/>
        <v>0.19750000000000001</v>
      </c>
      <c r="AG41" s="68">
        <f t="shared" si="14"/>
        <v>5926.75</v>
      </c>
      <c r="AH41" s="68">
        <f t="shared" si="14"/>
        <v>20034.75</v>
      </c>
      <c r="AI41" s="8">
        <f t="shared" si="14"/>
        <v>0.48000928931746006</v>
      </c>
      <c r="AK41" s="68"/>
      <c r="AL41" s="68"/>
      <c r="AM41" s="68"/>
      <c r="AN41" s="68"/>
      <c r="AO41" s="8"/>
      <c r="AP41" s="68"/>
    </row>
    <row r="42" spans="1:51">
      <c r="A42" s="100"/>
      <c r="B42" s="105">
        <v>20</v>
      </c>
      <c r="C42" s="104">
        <v>4</v>
      </c>
      <c r="D42" s="21">
        <v>67.77</v>
      </c>
      <c r="E42" s="21">
        <v>3602.55</v>
      </c>
      <c r="F42" s="21">
        <v>423.63</v>
      </c>
      <c r="G42" s="21">
        <v>3178.49</v>
      </c>
      <c r="H42" s="21">
        <v>0.43</v>
      </c>
      <c r="I42" s="1">
        <v>6137</v>
      </c>
      <c r="J42" s="1">
        <v>24548</v>
      </c>
      <c r="K42" s="3">
        <f t="shared" si="0"/>
        <v>88.228893422714464</v>
      </c>
      <c r="L42" s="21">
        <v>64.8</v>
      </c>
      <c r="M42" s="21">
        <v>3602.92</v>
      </c>
      <c r="N42" s="21">
        <v>280.45999999999998</v>
      </c>
      <c r="O42" s="21">
        <v>3321.79</v>
      </c>
      <c r="P42" s="21">
        <v>0.67</v>
      </c>
      <c r="Q42" s="1">
        <v>5510</v>
      </c>
      <c r="R42" s="1">
        <v>22040</v>
      </c>
      <c r="S42" s="73">
        <f t="shared" si="1"/>
        <v>92.197162301688635</v>
      </c>
      <c r="T42" s="3">
        <v>61.06</v>
      </c>
      <c r="U42" s="3">
        <v>3600.13</v>
      </c>
      <c r="V42" s="3">
        <v>3566.97</v>
      </c>
      <c r="W42" s="3">
        <v>30.63</v>
      </c>
      <c r="X42" s="3">
        <v>2.5299999999999998</v>
      </c>
      <c r="Y42" s="1">
        <v>37349</v>
      </c>
      <c r="Z42" s="1">
        <v>149396</v>
      </c>
      <c r="AA42" s="3">
        <f t="shared" si="2"/>
        <v>0.85080260990575329</v>
      </c>
      <c r="AB42" s="3">
        <v>57.18</v>
      </c>
      <c r="AC42" s="3">
        <v>3600.15</v>
      </c>
      <c r="AD42" s="3">
        <v>3575.87</v>
      </c>
      <c r="AE42" s="3">
        <v>22.57</v>
      </c>
      <c r="AF42" s="3">
        <v>1.72</v>
      </c>
      <c r="AG42" s="1">
        <v>29764</v>
      </c>
      <c r="AH42" s="1">
        <v>119056</v>
      </c>
      <c r="AI42" s="3">
        <f t="shared" si="3"/>
        <v>0.62691832284765914</v>
      </c>
      <c r="AK42" s="34">
        <v>17</v>
      </c>
      <c r="AL42" s="34">
        <v>128817350</v>
      </c>
      <c r="AM42" s="34">
        <v>125907608</v>
      </c>
      <c r="AN42" s="34">
        <v>2909742</v>
      </c>
      <c r="AO42" s="35">
        <v>2.2599999999999998</v>
      </c>
      <c r="AP42" s="34">
        <v>7</v>
      </c>
    </row>
    <row r="43" spans="1:51">
      <c r="A43" s="100"/>
      <c r="B43" s="100"/>
      <c r="C43" s="102"/>
      <c r="D43" s="21">
        <v>77.91</v>
      </c>
      <c r="E43" s="21">
        <v>3600.77</v>
      </c>
      <c r="F43" s="21">
        <v>386.68</v>
      </c>
      <c r="G43" s="21">
        <v>3213.65</v>
      </c>
      <c r="H43" s="21">
        <v>0.44</v>
      </c>
      <c r="I43" s="1">
        <v>5889</v>
      </c>
      <c r="J43" s="1">
        <v>23556</v>
      </c>
      <c r="K43" s="3">
        <f t="shared" si="0"/>
        <v>89.248966193341985</v>
      </c>
      <c r="L43" s="21">
        <v>71.819999999999993</v>
      </c>
      <c r="M43" s="21">
        <v>3604.22</v>
      </c>
      <c r="N43" s="21">
        <v>279.08999999999997</v>
      </c>
      <c r="O43" s="21">
        <v>3324.41</v>
      </c>
      <c r="P43" s="21">
        <v>0.73</v>
      </c>
      <c r="Q43" s="1">
        <v>5964</v>
      </c>
      <c r="R43" s="1">
        <v>23856</v>
      </c>
      <c r="S43" s="73">
        <f t="shared" si="1"/>
        <v>92.236600429496534</v>
      </c>
      <c r="T43" s="3">
        <v>61.5</v>
      </c>
      <c r="U43" s="3">
        <v>3600.22</v>
      </c>
      <c r="V43" s="3">
        <v>3574.17</v>
      </c>
      <c r="W43" s="3">
        <v>23.79</v>
      </c>
      <c r="X43" s="3">
        <v>2.27</v>
      </c>
      <c r="Y43" s="1">
        <v>35950</v>
      </c>
      <c r="Z43" s="1">
        <v>143800</v>
      </c>
      <c r="AA43" s="3">
        <f t="shared" si="2"/>
        <v>0.66079295154185025</v>
      </c>
      <c r="AB43" s="3">
        <v>62.95</v>
      </c>
      <c r="AC43" s="3">
        <v>3600.21</v>
      </c>
      <c r="AD43" s="3">
        <v>3573.31</v>
      </c>
      <c r="AE43" s="3">
        <v>24.95</v>
      </c>
      <c r="AF43" s="3">
        <v>1.95</v>
      </c>
      <c r="AG43" s="1">
        <v>29598</v>
      </c>
      <c r="AH43" s="1">
        <v>118392</v>
      </c>
      <c r="AI43" s="3">
        <f t="shared" si="3"/>
        <v>0.69301512967299128</v>
      </c>
      <c r="AK43" s="1">
        <v>17</v>
      </c>
      <c r="AL43" s="1">
        <v>129413430</v>
      </c>
      <c r="AM43" s="1">
        <v>126506471</v>
      </c>
      <c r="AN43" s="1">
        <v>2906959</v>
      </c>
      <c r="AO43" s="3">
        <v>2.25</v>
      </c>
      <c r="AP43" s="1">
        <v>6</v>
      </c>
    </row>
    <row r="44" spans="1:51">
      <c r="A44" s="100"/>
      <c r="B44" s="100"/>
      <c r="C44" s="104">
        <v>5</v>
      </c>
      <c r="D44" s="32">
        <v>60.92</v>
      </c>
      <c r="E44" s="32">
        <v>3602.86</v>
      </c>
      <c r="F44" s="32">
        <v>1072.43</v>
      </c>
      <c r="G44" s="32">
        <v>2530.04</v>
      </c>
      <c r="H44" s="32">
        <v>0.39</v>
      </c>
      <c r="I44" s="4">
        <v>7144</v>
      </c>
      <c r="J44" s="4">
        <v>35720</v>
      </c>
      <c r="K44" s="5">
        <f t="shared" si="0"/>
        <v>70.223100536795769</v>
      </c>
      <c r="L44" s="32">
        <v>58.47</v>
      </c>
      <c r="M44" s="32">
        <v>3601.03</v>
      </c>
      <c r="N44" s="32">
        <v>1482.76</v>
      </c>
      <c r="O44" s="32">
        <v>2117.6799999999998</v>
      </c>
      <c r="P44" s="32">
        <v>0.59</v>
      </c>
      <c r="Q44" s="4">
        <v>6295</v>
      </c>
      <c r="R44" s="4">
        <v>31475</v>
      </c>
      <c r="S44" s="74">
        <f t="shared" si="1"/>
        <v>58.807618931250218</v>
      </c>
      <c r="T44" s="5">
        <v>52.91</v>
      </c>
      <c r="U44" s="5">
        <v>3600.05</v>
      </c>
      <c r="V44" s="5">
        <v>3590.52</v>
      </c>
      <c r="W44" s="5">
        <v>8.5500000000000007</v>
      </c>
      <c r="X44" s="5">
        <v>0.98</v>
      </c>
      <c r="Y44" s="4">
        <v>20550</v>
      </c>
      <c r="Z44" s="4">
        <v>102750</v>
      </c>
      <c r="AA44" s="5">
        <f t="shared" si="2"/>
        <v>0.23749670143470231</v>
      </c>
      <c r="AB44" s="5">
        <v>52.23</v>
      </c>
      <c r="AC44" s="5">
        <v>3600.02</v>
      </c>
      <c r="AD44" s="5">
        <v>3590.48</v>
      </c>
      <c r="AE44" s="5">
        <v>8.2899999999999991</v>
      </c>
      <c r="AF44" s="5">
        <v>1.26</v>
      </c>
      <c r="AG44" s="4">
        <v>17913</v>
      </c>
      <c r="AH44" s="4">
        <v>89565</v>
      </c>
      <c r="AI44" s="5">
        <f t="shared" si="3"/>
        <v>0.23027649846389742</v>
      </c>
      <c r="AK44" s="4">
        <v>16</v>
      </c>
      <c r="AL44" s="4">
        <v>45006927</v>
      </c>
      <c r="AM44" s="4">
        <v>43743824</v>
      </c>
      <c r="AN44" s="4">
        <v>1263103</v>
      </c>
      <c r="AO44" s="5">
        <v>2.81</v>
      </c>
      <c r="AP44" s="4">
        <v>6</v>
      </c>
    </row>
    <row r="45" spans="1:51">
      <c r="A45" s="100"/>
      <c r="B45" s="100"/>
      <c r="C45" s="102"/>
      <c r="D45" s="32">
        <v>47.75</v>
      </c>
      <c r="E45" s="32">
        <v>3599.81</v>
      </c>
      <c r="F45" s="32">
        <v>1222.07</v>
      </c>
      <c r="G45" s="32">
        <v>2377.37</v>
      </c>
      <c r="H45" s="32">
        <v>0.37</v>
      </c>
      <c r="I45" s="4">
        <v>6883</v>
      </c>
      <c r="J45" s="4">
        <v>34415</v>
      </c>
      <c r="K45" s="5">
        <f t="shared" si="0"/>
        <v>66.041541081334842</v>
      </c>
      <c r="L45" s="32">
        <v>48.39</v>
      </c>
      <c r="M45" s="32">
        <v>3600.24</v>
      </c>
      <c r="N45" s="32">
        <v>1466.54</v>
      </c>
      <c r="O45" s="32">
        <v>2133.14</v>
      </c>
      <c r="P45" s="32">
        <v>0.56999999999999995</v>
      </c>
      <c r="Q45" s="4">
        <v>6063</v>
      </c>
      <c r="R45" s="4">
        <v>30315</v>
      </c>
      <c r="S45" s="74">
        <f t="shared" si="1"/>
        <v>59.249938892962696</v>
      </c>
      <c r="T45" s="5">
        <v>39.270000000000003</v>
      </c>
      <c r="U45" s="5">
        <v>3600.02</v>
      </c>
      <c r="V45" s="5">
        <v>3588.86</v>
      </c>
      <c r="W45" s="5">
        <v>10.19</v>
      </c>
      <c r="X45" s="5">
        <v>0.96</v>
      </c>
      <c r="Y45" s="4">
        <v>20261</v>
      </c>
      <c r="Z45" s="4">
        <v>101305</v>
      </c>
      <c r="AA45" s="5">
        <f t="shared" si="2"/>
        <v>0.28305398303342755</v>
      </c>
      <c r="AB45" s="5">
        <v>37.75</v>
      </c>
      <c r="AC45" s="5">
        <v>3600.01</v>
      </c>
      <c r="AD45" s="5">
        <v>3587.8</v>
      </c>
      <c r="AE45" s="5">
        <v>10.96</v>
      </c>
      <c r="AF45" s="5">
        <v>1.25</v>
      </c>
      <c r="AG45" s="4">
        <v>17464</v>
      </c>
      <c r="AH45" s="4">
        <v>87320</v>
      </c>
      <c r="AI45" s="5">
        <f t="shared" si="3"/>
        <v>0.30444359876778121</v>
      </c>
      <c r="AK45" s="4">
        <v>16</v>
      </c>
      <c r="AL45" s="4">
        <v>61060765</v>
      </c>
      <c r="AM45" s="4">
        <v>59534763</v>
      </c>
      <c r="AN45" s="4">
        <v>1526002</v>
      </c>
      <c r="AO45" s="5">
        <v>2.5</v>
      </c>
      <c r="AP45" s="4">
        <v>7</v>
      </c>
    </row>
    <row r="46" spans="1:51">
      <c r="A46" s="100"/>
      <c r="B46" s="101"/>
      <c r="C46" s="8"/>
      <c r="D46" s="8">
        <f t="shared" ref="D46:AI46" si="15">AVERAGE(D42:D45)</f>
        <v>63.587500000000006</v>
      </c>
      <c r="E46" s="8">
        <f t="shared" si="15"/>
        <v>3601.4974999999999</v>
      </c>
      <c r="F46" s="8">
        <f t="shared" si="15"/>
        <v>776.20249999999999</v>
      </c>
      <c r="G46" s="8">
        <f t="shared" si="15"/>
        <v>2824.8874999999998</v>
      </c>
      <c r="H46" s="8">
        <f t="shared" si="15"/>
        <v>0.40749999999999997</v>
      </c>
      <c r="I46" s="68">
        <f t="shared" si="15"/>
        <v>6513.25</v>
      </c>
      <c r="J46" s="68">
        <f t="shared" si="15"/>
        <v>29559.75</v>
      </c>
      <c r="K46" s="8">
        <f t="shared" si="15"/>
        <v>78.435625308546761</v>
      </c>
      <c r="L46" s="8">
        <f t="shared" si="15"/>
        <v>60.870000000000005</v>
      </c>
      <c r="M46" s="8">
        <f t="shared" si="15"/>
        <v>3602.1025</v>
      </c>
      <c r="N46" s="8">
        <f t="shared" si="15"/>
        <v>877.21249999999998</v>
      </c>
      <c r="O46" s="8">
        <f t="shared" si="15"/>
        <v>2724.2549999999997</v>
      </c>
      <c r="P46" s="8">
        <f t="shared" si="15"/>
        <v>0.6399999999999999</v>
      </c>
      <c r="Q46" s="68">
        <f t="shared" si="15"/>
        <v>5958</v>
      </c>
      <c r="R46" s="68">
        <f t="shared" si="15"/>
        <v>26921.5</v>
      </c>
      <c r="S46" s="75">
        <f t="shared" si="15"/>
        <v>75.622830138849523</v>
      </c>
      <c r="T46" s="8">
        <f t="shared" si="15"/>
        <v>53.685000000000002</v>
      </c>
      <c r="U46" s="8">
        <f t="shared" si="15"/>
        <v>3600.1050000000005</v>
      </c>
      <c r="V46" s="8">
        <f t="shared" si="15"/>
        <v>3580.13</v>
      </c>
      <c r="W46" s="8">
        <f t="shared" si="15"/>
        <v>18.29</v>
      </c>
      <c r="X46" s="8">
        <f t="shared" si="15"/>
        <v>1.6849999999999998</v>
      </c>
      <c r="Y46" s="68">
        <f t="shared" si="15"/>
        <v>28527.5</v>
      </c>
      <c r="Z46" s="68">
        <f t="shared" si="15"/>
        <v>124312.75</v>
      </c>
      <c r="AA46" s="8">
        <f t="shared" si="15"/>
        <v>0.50803656147893328</v>
      </c>
      <c r="AB46" s="8">
        <f t="shared" si="15"/>
        <v>52.527499999999996</v>
      </c>
      <c r="AC46" s="8">
        <f t="shared" si="15"/>
        <v>3600.0975000000003</v>
      </c>
      <c r="AD46" s="8">
        <f t="shared" si="15"/>
        <v>3581.8649999999998</v>
      </c>
      <c r="AE46" s="8">
        <f t="shared" si="15"/>
        <v>16.692499999999999</v>
      </c>
      <c r="AF46" s="8">
        <f t="shared" si="15"/>
        <v>1.5449999999999999</v>
      </c>
      <c r="AG46" s="68">
        <f t="shared" si="15"/>
        <v>23684.75</v>
      </c>
      <c r="AH46" s="68">
        <f t="shared" si="15"/>
        <v>103583.25</v>
      </c>
      <c r="AI46" s="8">
        <f t="shared" si="15"/>
        <v>0.46366338743808228</v>
      </c>
      <c r="AK46" s="68"/>
      <c r="AL46" s="68"/>
      <c r="AM46" s="68"/>
      <c r="AN46" s="68"/>
      <c r="AO46" s="8"/>
      <c r="AP46" s="68"/>
    </row>
  </sheetData>
  <mergeCells count="40">
    <mergeCell ref="AS31:AS38"/>
    <mergeCell ref="AS2:AS3"/>
    <mergeCell ref="AT2:AY2"/>
    <mergeCell ref="AS4:AS11"/>
    <mergeCell ref="AS13:AS20"/>
    <mergeCell ref="AS22:AS29"/>
    <mergeCell ref="A27:A46"/>
    <mergeCell ref="B27:B31"/>
    <mergeCell ref="C27:C28"/>
    <mergeCell ref="C29:C30"/>
    <mergeCell ref="B32:B36"/>
    <mergeCell ref="C32:C33"/>
    <mergeCell ref="C34:C35"/>
    <mergeCell ref="B37:B41"/>
    <mergeCell ref="C37:C38"/>
    <mergeCell ref="C39:C40"/>
    <mergeCell ref="B42:B46"/>
    <mergeCell ref="C42:C43"/>
    <mergeCell ref="C44:C45"/>
    <mergeCell ref="B19:B23"/>
    <mergeCell ref="C19:C20"/>
    <mergeCell ref="C21:C22"/>
    <mergeCell ref="A1:C2"/>
    <mergeCell ref="D1:R1"/>
    <mergeCell ref="L2:S2"/>
    <mergeCell ref="A4:A23"/>
    <mergeCell ref="B4:B8"/>
    <mergeCell ref="C4:C5"/>
    <mergeCell ref="C6:C7"/>
    <mergeCell ref="B9:B13"/>
    <mergeCell ref="C9:C10"/>
    <mergeCell ref="C11:C12"/>
    <mergeCell ref="B14:B18"/>
    <mergeCell ref="C14:C15"/>
    <mergeCell ref="C16:C17"/>
    <mergeCell ref="T2:AA2"/>
    <mergeCell ref="D2:K2"/>
    <mergeCell ref="T1:AI1"/>
    <mergeCell ref="AB2:AI2"/>
    <mergeCell ref="AK1:AP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1A47-F655-4B43-944E-EA2BFF879DD9}">
  <dimension ref="A1:Q96"/>
  <sheetViews>
    <sheetView zoomScale="95" workbookViewId="0">
      <selection activeCell="L49" sqref="L49"/>
    </sheetView>
  </sheetViews>
  <sheetFormatPr baseColWidth="10" defaultRowHeight="18"/>
  <cols>
    <col min="1" max="1" width="11" bestFit="1" customWidth="1"/>
    <col min="2" max="3" width="11.1640625" bestFit="1" customWidth="1"/>
    <col min="4" max="4" width="16.1640625" style="19" customWidth="1"/>
    <col min="5" max="5" width="17.5" style="19" customWidth="1"/>
    <col min="6" max="6" width="17" style="19" customWidth="1"/>
    <col min="7" max="7" width="18" style="19" customWidth="1"/>
    <col min="8" max="8" width="25" style="24" customWidth="1"/>
    <col min="11" max="13" width="11" bestFit="1" customWidth="1"/>
    <col min="14" max="14" width="11.83203125" bestFit="1" customWidth="1"/>
    <col min="15" max="15" width="11" bestFit="1" customWidth="1"/>
    <col min="16" max="16" width="11.83203125" bestFit="1" customWidth="1"/>
    <col min="17" max="17" width="28" customWidth="1"/>
  </cols>
  <sheetData>
    <row r="1" spans="1:17" s="11" customFormat="1" ht="20" customHeight="1">
      <c r="A1" s="90" t="s">
        <v>0</v>
      </c>
      <c r="B1" s="91"/>
      <c r="C1" s="91"/>
      <c r="D1" s="90" t="s">
        <v>42</v>
      </c>
      <c r="E1" s="91"/>
      <c r="F1" s="90" t="s">
        <v>43</v>
      </c>
      <c r="G1" s="91"/>
      <c r="H1" s="92" t="s">
        <v>15</v>
      </c>
      <c r="K1" s="89" t="s">
        <v>16</v>
      </c>
      <c r="L1" s="89"/>
      <c r="M1" s="90" t="s">
        <v>42</v>
      </c>
      <c r="N1" s="91"/>
      <c r="O1" s="90" t="s">
        <v>43</v>
      </c>
      <c r="P1" s="91"/>
      <c r="Q1" s="92" t="s">
        <v>15</v>
      </c>
    </row>
    <row r="2" spans="1:17" s="11" customFormat="1" ht="22" customHeight="1">
      <c r="A2" s="12" t="s">
        <v>7</v>
      </c>
      <c r="B2" s="13" t="s">
        <v>10</v>
      </c>
      <c r="C2" s="13" t="s">
        <v>11</v>
      </c>
      <c r="D2" s="12" t="s">
        <v>12</v>
      </c>
      <c r="E2" s="12" t="s">
        <v>13</v>
      </c>
      <c r="F2" s="12" t="s">
        <v>35</v>
      </c>
      <c r="G2" s="12" t="s">
        <v>14</v>
      </c>
      <c r="H2" s="93"/>
      <c r="K2" s="13" t="s">
        <v>10</v>
      </c>
      <c r="L2" s="13" t="s">
        <v>11</v>
      </c>
      <c r="M2" s="12" t="s">
        <v>12</v>
      </c>
      <c r="N2" s="12" t="s">
        <v>13</v>
      </c>
      <c r="O2" s="12" t="s">
        <v>35</v>
      </c>
      <c r="P2" s="12" t="s">
        <v>14</v>
      </c>
      <c r="Q2" s="93"/>
    </row>
    <row r="3" spans="1:17">
      <c r="A3" s="94" t="s">
        <v>8</v>
      </c>
      <c r="B3" s="86">
        <v>5</v>
      </c>
      <c r="C3" s="86">
        <v>2</v>
      </c>
      <c r="D3" s="15">
        <v>14.96</v>
      </c>
      <c r="E3" s="15">
        <v>14864.49</v>
      </c>
      <c r="F3" s="15">
        <v>14.96</v>
      </c>
      <c r="G3" s="15">
        <v>14864.49</v>
      </c>
      <c r="H3" s="26">
        <f>(G3-E3)/E3*100</f>
        <v>0</v>
      </c>
      <c r="K3" s="85">
        <v>5</v>
      </c>
      <c r="L3" s="85">
        <v>2</v>
      </c>
      <c r="M3" s="15">
        <v>14.96</v>
      </c>
      <c r="N3" s="15">
        <v>14864.49</v>
      </c>
      <c r="O3" s="15">
        <v>14.96</v>
      </c>
      <c r="P3" s="15">
        <v>14864.49</v>
      </c>
      <c r="Q3" s="26">
        <f>(P3-N3)/N3*100</f>
        <v>0</v>
      </c>
    </row>
    <row r="4" spans="1:17">
      <c r="A4" s="94"/>
      <c r="B4" s="87"/>
      <c r="C4" s="87"/>
      <c r="D4" s="20">
        <v>12.19</v>
      </c>
      <c r="E4" s="20">
        <v>10514.44</v>
      </c>
      <c r="F4" s="20">
        <v>12.19</v>
      </c>
      <c r="G4" s="20">
        <v>11178.68</v>
      </c>
      <c r="H4" s="23">
        <f t="shared" ref="H4:H43" si="0">(G4-E4)/E4*100</f>
        <v>6.3174072989146328</v>
      </c>
      <c r="K4" s="85"/>
      <c r="L4" s="85"/>
      <c r="M4" s="15">
        <v>12.19</v>
      </c>
      <c r="N4" s="15">
        <v>10514.44</v>
      </c>
      <c r="O4" s="15">
        <v>12.19</v>
      </c>
      <c r="P4" s="15">
        <v>11178.68</v>
      </c>
      <c r="Q4" s="23">
        <f t="shared" ref="Q4:Q17" si="1">(P4-N4)/N4*100</f>
        <v>6.3174072989146328</v>
      </c>
    </row>
    <row r="5" spans="1:17">
      <c r="A5" s="94"/>
      <c r="B5" s="87"/>
      <c r="C5" s="87"/>
      <c r="D5" s="15">
        <v>10.46</v>
      </c>
      <c r="E5" s="15">
        <v>8002.47</v>
      </c>
      <c r="F5" s="15">
        <v>9.32</v>
      </c>
      <c r="G5" s="15">
        <v>8568.41</v>
      </c>
      <c r="H5" s="23">
        <f t="shared" si="0"/>
        <v>7.072066499468284</v>
      </c>
      <c r="K5" s="85"/>
      <c r="L5" s="85"/>
      <c r="M5" s="15">
        <v>10.46</v>
      </c>
      <c r="N5" s="15">
        <v>8002.47</v>
      </c>
      <c r="O5" s="15">
        <v>9.32</v>
      </c>
      <c r="P5" s="15">
        <v>8568.41</v>
      </c>
      <c r="Q5" s="23">
        <f t="shared" si="1"/>
        <v>7.072066499468284</v>
      </c>
    </row>
    <row r="6" spans="1:17">
      <c r="A6" s="94"/>
      <c r="B6" s="87"/>
      <c r="C6" s="87"/>
      <c r="D6" s="15">
        <v>9.44</v>
      </c>
      <c r="E6" s="15">
        <v>7905.39</v>
      </c>
      <c r="F6" s="15">
        <v>9.44</v>
      </c>
      <c r="G6" s="15">
        <v>7905.39</v>
      </c>
      <c r="H6" s="26">
        <f t="shared" si="0"/>
        <v>0</v>
      </c>
      <c r="K6" s="85"/>
      <c r="L6" s="85"/>
      <c r="M6" s="15">
        <v>9.44</v>
      </c>
      <c r="N6" s="15">
        <v>7905.39</v>
      </c>
      <c r="O6" s="15">
        <v>9.44</v>
      </c>
      <c r="P6" s="15">
        <v>7905.39</v>
      </c>
      <c r="Q6" s="26">
        <f t="shared" si="1"/>
        <v>0</v>
      </c>
    </row>
    <row r="7" spans="1:17">
      <c r="A7" s="94"/>
      <c r="B7" s="87"/>
      <c r="C7" s="88"/>
      <c r="D7" s="15">
        <v>10.65</v>
      </c>
      <c r="E7" s="15">
        <v>8254.69</v>
      </c>
      <c r="F7" s="15">
        <v>10.33</v>
      </c>
      <c r="G7" s="15">
        <v>8614.48</v>
      </c>
      <c r="H7" s="23">
        <f t="shared" si="0"/>
        <v>4.3586131035811038</v>
      </c>
      <c r="K7" s="85"/>
      <c r="L7" s="85"/>
      <c r="M7" s="15">
        <v>10.65</v>
      </c>
      <c r="N7" s="15">
        <v>8254.69</v>
      </c>
      <c r="O7" s="15">
        <v>10.33</v>
      </c>
      <c r="P7" s="15">
        <v>8614.48</v>
      </c>
      <c r="Q7" s="23">
        <f t="shared" si="1"/>
        <v>4.3586131035811038</v>
      </c>
    </row>
    <row r="8" spans="1:17">
      <c r="A8" s="94"/>
      <c r="B8" s="87"/>
      <c r="C8" s="86">
        <v>3</v>
      </c>
      <c r="D8" s="16">
        <v>4.75</v>
      </c>
      <c r="E8" s="16">
        <v>3519.7</v>
      </c>
      <c r="F8" s="16">
        <v>4.75</v>
      </c>
      <c r="G8" s="16">
        <v>3519.7</v>
      </c>
      <c r="H8" s="26">
        <f t="shared" si="0"/>
        <v>0</v>
      </c>
      <c r="K8" s="85"/>
      <c r="L8" s="85"/>
      <c r="M8" s="15">
        <v>17.16</v>
      </c>
      <c r="N8" s="15">
        <v>15924.86</v>
      </c>
      <c r="O8" s="15">
        <v>17.16</v>
      </c>
      <c r="P8" s="15">
        <v>15924.86</v>
      </c>
      <c r="Q8" s="26">
        <f t="shared" si="1"/>
        <v>0</v>
      </c>
    </row>
    <row r="9" spans="1:17">
      <c r="A9" s="94"/>
      <c r="B9" s="87"/>
      <c r="C9" s="87"/>
      <c r="D9" s="20">
        <v>4.63</v>
      </c>
      <c r="E9" s="20">
        <v>4639.67</v>
      </c>
      <c r="F9" s="20">
        <v>4.63</v>
      </c>
      <c r="G9" s="20">
        <v>4762.7700000000004</v>
      </c>
      <c r="H9" s="25">
        <f t="shared" si="0"/>
        <v>2.6532059392155123</v>
      </c>
      <c r="K9" s="85"/>
      <c r="L9" s="85"/>
      <c r="M9" s="15">
        <v>11</v>
      </c>
      <c r="N9" s="15">
        <v>8101.36</v>
      </c>
      <c r="O9" s="15">
        <v>10.51</v>
      </c>
      <c r="P9" s="15">
        <v>8139.93</v>
      </c>
      <c r="Q9" s="23">
        <f t="shared" si="1"/>
        <v>0.47609290292001127</v>
      </c>
    </row>
    <row r="10" spans="1:17">
      <c r="A10" s="94"/>
      <c r="B10" s="87"/>
      <c r="C10" s="87"/>
      <c r="D10" s="16">
        <v>5.14</v>
      </c>
      <c r="E10" s="16">
        <v>4952.83</v>
      </c>
      <c r="F10" s="16">
        <v>5.14</v>
      </c>
      <c r="G10" s="16">
        <v>4952.83</v>
      </c>
      <c r="H10" s="26">
        <f t="shared" si="0"/>
        <v>0</v>
      </c>
      <c r="K10" s="85"/>
      <c r="L10" s="85"/>
      <c r="M10" s="15">
        <v>12.31</v>
      </c>
      <c r="N10" s="15">
        <v>10371.02</v>
      </c>
      <c r="O10" s="15">
        <v>12.31</v>
      </c>
      <c r="P10" s="15">
        <v>10587.04</v>
      </c>
      <c r="Q10" s="23">
        <f t="shared" si="1"/>
        <v>2.0829195199700745</v>
      </c>
    </row>
    <row r="11" spans="1:17">
      <c r="A11" s="94"/>
      <c r="B11" s="87"/>
      <c r="C11" s="87"/>
      <c r="D11" s="16">
        <v>9.5500000000000007</v>
      </c>
      <c r="E11" s="16">
        <v>11218.49</v>
      </c>
      <c r="F11" s="16">
        <v>9.2899999999999991</v>
      </c>
      <c r="G11" s="16">
        <v>11223.78</v>
      </c>
      <c r="H11" s="25">
        <f t="shared" si="0"/>
        <v>4.7154296166425899E-2</v>
      </c>
      <c r="K11" s="85"/>
      <c r="L11" s="85"/>
      <c r="M11" s="15">
        <v>24.98</v>
      </c>
      <c r="N11" s="15">
        <v>23265.93</v>
      </c>
      <c r="O11" s="15">
        <v>24.98</v>
      </c>
      <c r="P11" s="15">
        <v>23265.93</v>
      </c>
      <c r="Q11" s="26">
        <f t="shared" si="1"/>
        <v>0</v>
      </c>
    </row>
    <row r="12" spans="1:17">
      <c r="A12" s="94"/>
      <c r="B12" s="88"/>
      <c r="C12" s="88"/>
      <c r="D12" s="20">
        <v>7.61</v>
      </c>
      <c r="E12" s="20">
        <v>7320</v>
      </c>
      <c r="F12" s="20">
        <v>7.61</v>
      </c>
      <c r="G12" s="20">
        <v>7827.61</v>
      </c>
      <c r="H12" s="25">
        <f t="shared" si="0"/>
        <v>6.9345628415300498</v>
      </c>
      <c r="K12" s="85"/>
      <c r="L12" s="85"/>
      <c r="M12" s="15">
        <v>12.53</v>
      </c>
      <c r="N12" s="15">
        <v>9931.5499999999993</v>
      </c>
      <c r="O12" s="15">
        <v>12.53</v>
      </c>
      <c r="P12" s="15">
        <v>10765.56</v>
      </c>
      <c r="Q12" s="23">
        <f t="shared" si="1"/>
        <v>8.3975814449909656</v>
      </c>
    </row>
    <row r="13" spans="1:17">
      <c r="A13" s="94"/>
      <c r="B13" s="86">
        <v>10</v>
      </c>
      <c r="C13" s="86">
        <v>3</v>
      </c>
      <c r="D13" s="15">
        <v>18.87</v>
      </c>
      <c r="E13" s="15">
        <v>29400.55</v>
      </c>
      <c r="F13" s="15">
        <v>18.87</v>
      </c>
      <c r="G13" s="15">
        <v>29400.55</v>
      </c>
      <c r="H13" s="26">
        <f t="shared" si="0"/>
        <v>0</v>
      </c>
      <c r="K13" s="85"/>
      <c r="L13" s="85">
        <v>3</v>
      </c>
      <c r="M13" s="16">
        <v>4.75</v>
      </c>
      <c r="N13" s="16">
        <v>3519.7</v>
      </c>
      <c r="O13" s="16">
        <v>4.75</v>
      </c>
      <c r="P13" s="16">
        <v>3519.7</v>
      </c>
      <c r="Q13" s="26">
        <f t="shared" si="1"/>
        <v>0</v>
      </c>
    </row>
    <row r="14" spans="1:17">
      <c r="A14" s="94"/>
      <c r="B14" s="87"/>
      <c r="C14" s="87"/>
      <c r="D14" s="15">
        <v>18.190000000000001</v>
      </c>
      <c r="E14" s="15">
        <v>26849.56</v>
      </c>
      <c r="F14" s="15">
        <v>17.66</v>
      </c>
      <c r="G14" s="15">
        <v>27158.21</v>
      </c>
      <c r="H14" s="23">
        <f t="shared" si="0"/>
        <v>1.1495532887689697</v>
      </c>
      <c r="K14" s="85"/>
      <c r="L14" s="85"/>
      <c r="M14" s="16">
        <v>4.63</v>
      </c>
      <c r="N14" s="16">
        <v>4639.67</v>
      </c>
      <c r="O14" s="16">
        <v>4.63</v>
      </c>
      <c r="P14" s="16">
        <v>4762.7700000000004</v>
      </c>
      <c r="Q14" s="25">
        <f t="shared" si="1"/>
        <v>2.6532059392155123</v>
      </c>
    </row>
    <row r="15" spans="1:17">
      <c r="A15" s="94"/>
      <c r="B15" s="87"/>
      <c r="C15" s="87"/>
      <c r="D15" s="20">
        <v>24.35</v>
      </c>
      <c r="E15" s="20">
        <v>35931.17</v>
      </c>
      <c r="F15" s="20">
        <v>24.35</v>
      </c>
      <c r="G15" s="20">
        <v>36817.67</v>
      </c>
      <c r="H15" s="23">
        <f t="shared" si="0"/>
        <v>2.467217182184716</v>
      </c>
      <c r="K15" s="85"/>
      <c r="L15" s="85"/>
      <c r="M15" s="16">
        <v>5.14</v>
      </c>
      <c r="N15" s="16">
        <v>4952.83</v>
      </c>
      <c r="O15" s="16">
        <v>5.14</v>
      </c>
      <c r="P15" s="16">
        <v>4952.83</v>
      </c>
      <c r="Q15" s="26">
        <f t="shared" si="1"/>
        <v>0</v>
      </c>
    </row>
    <row r="16" spans="1:17">
      <c r="A16" s="94"/>
      <c r="B16" s="87"/>
      <c r="C16" s="87"/>
      <c r="D16" s="15">
        <v>29.87</v>
      </c>
      <c r="E16" s="15">
        <v>45890.71</v>
      </c>
      <c r="F16" s="15">
        <v>29.14</v>
      </c>
      <c r="G16" s="15">
        <v>47756.36</v>
      </c>
      <c r="H16" s="23">
        <f t="shared" si="0"/>
        <v>4.0654197766824733</v>
      </c>
      <c r="K16" s="85"/>
      <c r="L16" s="85"/>
      <c r="M16" s="16">
        <v>9.5500000000000007</v>
      </c>
      <c r="N16" s="16">
        <v>11218.49</v>
      </c>
      <c r="O16" s="16">
        <v>9.2899999999999991</v>
      </c>
      <c r="P16" s="16">
        <v>11223.78</v>
      </c>
      <c r="Q16" s="25">
        <f t="shared" si="1"/>
        <v>4.7154296166425899E-2</v>
      </c>
    </row>
    <row r="17" spans="1:17">
      <c r="A17" s="94"/>
      <c r="B17" s="87"/>
      <c r="C17" s="88"/>
      <c r="D17" s="15">
        <v>18.02</v>
      </c>
      <c r="E17" s="15">
        <v>24457.73</v>
      </c>
      <c r="F17" s="15">
        <v>15.78</v>
      </c>
      <c r="G17" s="15">
        <v>24631.16</v>
      </c>
      <c r="H17" s="23">
        <f t="shared" si="0"/>
        <v>0.70910096726065863</v>
      </c>
      <c r="K17" s="85"/>
      <c r="L17" s="85"/>
      <c r="M17" s="16">
        <v>7.61</v>
      </c>
      <c r="N17" s="16">
        <v>7320</v>
      </c>
      <c r="O17" s="16">
        <v>7.61</v>
      </c>
      <c r="P17" s="16">
        <v>7827.61</v>
      </c>
      <c r="Q17" s="25">
        <f t="shared" si="1"/>
        <v>6.9345628415300498</v>
      </c>
    </row>
    <row r="18" spans="1:17">
      <c r="A18" s="94"/>
      <c r="B18" s="87"/>
      <c r="C18" s="86">
        <v>4</v>
      </c>
      <c r="D18" s="20">
        <v>7.46</v>
      </c>
      <c r="E18" s="20">
        <v>10237.34</v>
      </c>
      <c r="F18" s="20">
        <v>7.46</v>
      </c>
      <c r="G18" s="20">
        <v>10316.99</v>
      </c>
      <c r="H18" s="25">
        <f t="shared" si="0"/>
        <v>0.7780341377740666</v>
      </c>
      <c r="K18" s="85"/>
      <c r="L18" s="85"/>
      <c r="M18" s="16">
        <v>4.71</v>
      </c>
      <c r="N18" s="16">
        <v>3417.42</v>
      </c>
      <c r="O18" s="16">
        <v>4.6500000000000004</v>
      </c>
      <c r="P18" s="16">
        <v>3502.83</v>
      </c>
      <c r="Q18" s="25">
        <f t="shared" ref="Q18:Q43" si="2">(P18-N18)/N18*100</f>
        <v>2.4992538230594969</v>
      </c>
    </row>
    <row r="19" spans="1:17">
      <c r="A19" s="94"/>
      <c r="B19" s="87"/>
      <c r="C19" s="87"/>
      <c r="D19" s="16">
        <v>9.39</v>
      </c>
      <c r="E19" s="16">
        <v>14838.71</v>
      </c>
      <c r="F19" s="16">
        <v>9.14</v>
      </c>
      <c r="G19" s="16">
        <v>15333.27</v>
      </c>
      <c r="H19" s="25">
        <f t="shared" si="0"/>
        <v>3.3329042753716549</v>
      </c>
      <c r="K19" s="85"/>
      <c r="L19" s="85"/>
      <c r="M19" s="16">
        <v>8.43</v>
      </c>
      <c r="N19" s="16">
        <v>8109.63</v>
      </c>
      <c r="O19" s="16">
        <v>8.43</v>
      </c>
      <c r="P19" s="16">
        <v>8808.91</v>
      </c>
      <c r="Q19" s="25">
        <f t="shared" si="2"/>
        <v>8.6228348272362574</v>
      </c>
    </row>
    <row r="20" spans="1:17">
      <c r="A20" s="94"/>
      <c r="B20" s="87"/>
      <c r="C20" s="87"/>
      <c r="D20" s="16">
        <v>11.86</v>
      </c>
      <c r="E20" s="16">
        <v>20464.03</v>
      </c>
      <c r="F20" s="16">
        <v>11.5</v>
      </c>
      <c r="G20" s="16">
        <v>22197.55</v>
      </c>
      <c r="H20" s="25">
        <f t="shared" si="0"/>
        <v>8.4710587308560452</v>
      </c>
      <c r="K20" s="85"/>
      <c r="L20" s="85"/>
      <c r="M20" s="16">
        <v>12.23</v>
      </c>
      <c r="N20" s="16">
        <v>13635.68</v>
      </c>
      <c r="O20" s="16">
        <v>11.25</v>
      </c>
      <c r="P20" s="16">
        <v>14086.65</v>
      </c>
      <c r="Q20" s="25">
        <f t="shared" si="2"/>
        <v>3.3072791382607933</v>
      </c>
    </row>
    <row r="21" spans="1:17">
      <c r="A21" s="94"/>
      <c r="B21" s="87"/>
      <c r="C21" s="87"/>
      <c r="D21" s="16">
        <v>11.15</v>
      </c>
      <c r="E21" s="16">
        <v>17350.88</v>
      </c>
      <c r="F21" s="16">
        <v>11.05</v>
      </c>
      <c r="G21" s="16">
        <v>19094.61</v>
      </c>
      <c r="H21" s="25">
        <f t="shared" si="0"/>
        <v>10.049807272023086</v>
      </c>
      <c r="K21" s="85"/>
      <c r="L21" s="85"/>
      <c r="M21" s="16">
        <v>5.41</v>
      </c>
      <c r="N21" s="16">
        <v>5142.8599999999997</v>
      </c>
      <c r="O21" s="16">
        <v>5.41</v>
      </c>
      <c r="P21" s="16">
        <v>5142.8599999999997</v>
      </c>
      <c r="Q21" s="26">
        <f t="shared" si="2"/>
        <v>0</v>
      </c>
    </row>
    <row r="22" spans="1:17">
      <c r="A22" s="94"/>
      <c r="B22" s="88"/>
      <c r="C22" s="88"/>
      <c r="D22" s="16">
        <v>11.47</v>
      </c>
      <c r="E22" s="16">
        <v>17429.439999999999</v>
      </c>
      <c r="F22" s="16">
        <v>9.82</v>
      </c>
      <c r="G22" s="16">
        <v>17889.259999999998</v>
      </c>
      <c r="H22" s="25">
        <f t="shared" si="0"/>
        <v>2.6381799988984143</v>
      </c>
      <c r="K22" s="85"/>
      <c r="L22" s="85"/>
      <c r="M22" s="16">
        <v>6.3</v>
      </c>
      <c r="N22" s="16">
        <v>4303.66</v>
      </c>
      <c r="O22" s="16">
        <v>5.79</v>
      </c>
      <c r="P22" s="16">
        <v>4327.8500000000004</v>
      </c>
      <c r="Q22" s="25">
        <f t="shared" si="2"/>
        <v>0.56207971819336355</v>
      </c>
    </row>
    <row r="23" spans="1:17">
      <c r="A23" s="29"/>
      <c r="B23" s="60"/>
      <c r="C23" s="60"/>
      <c r="D23" s="29">
        <f>AVERAGE(D3:D22)</f>
        <v>12.500500000000002</v>
      </c>
      <c r="E23" s="29">
        <f>AVERAGE(E3:E22)</f>
        <v>16202.1145</v>
      </c>
      <c r="F23" s="29">
        <f>AVERAGE(F3:F22)</f>
        <v>12.121500000000001</v>
      </c>
      <c r="G23" s="29">
        <f>AVERAGE(G3:G22)</f>
        <v>16700.688499999997</v>
      </c>
      <c r="H23" s="30">
        <f>AVERAGE(H3:H22)</f>
        <v>3.0522142804348045</v>
      </c>
      <c r="K23" s="14"/>
      <c r="L23" s="14"/>
      <c r="M23" s="16"/>
      <c r="N23" s="16"/>
      <c r="O23" s="16"/>
      <c r="P23" s="16"/>
      <c r="Q23" s="25"/>
    </row>
    <row r="24" spans="1:17">
      <c r="A24" s="94" t="s">
        <v>9</v>
      </c>
      <c r="B24" s="86">
        <v>5</v>
      </c>
      <c r="C24" s="86">
        <v>2</v>
      </c>
      <c r="D24" s="15">
        <v>17.16</v>
      </c>
      <c r="E24" s="15">
        <v>15924.86</v>
      </c>
      <c r="F24" s="15">
        <v>17.16</v>
      </c>
      <c r="G24" s="15">
        <v>15924.86</v>
      </c>
      <c r="H24" s="26">
        <f t="shared" si="0"/>
        <v>0</v>
      </c>
      <c r="K24" s="85">
        <v>10</v>
      </c>
      <c r="L24" s="85">
        <v>3</v>
      </c>
      <c r="M24" s="15">
        <v>18.87</v>
      </c>
      <c r="N24" s="15">
        <v>29400.55</v>
      </c>
      <c r="O24" s="15">
        <v>18.87</v>
      </c>
      <c r="P24" s="15">
        <v>29400.55</v>
      </c>
      <c r="Q24" s="26">
        <f t="shared" si="2"/>
        <v>0</v>
      </c>
    </row>
    <row r="25" spans="1:17">
      <c r="A25" s="94"/>
      <c r="B25" s="87"/>
      <c r="C25" s="87"/>
      <c r="D25" s="15">
        <v>11</v>
      </c>
      <c r="E25" s="15">
        <v>8101.36</v>
      </c>
      <c r="F25" s="15">
        <v>10.51</v>
      </c>
      <c r="G25" s="15">
        <v>8139.93</v>
      </c>
      <c r="H25" s="23">
        <f t="shared" si="0"/>
        <v>0.47609290292001127</v>
      </c>
      <c r="K25" s="85"/>
      <c r="L25" s="85"/>
      <c r="M25" s="15">
        <v>18.190000000000001</v>
      </c>
      <c r="N25" s="15">
        <v>26849.56</v>
      </c>
      <c r="O25" s="15">
        <v>17.66</v>
      </c>
      <c r="P25" s="15">
        <v>27158.21</v>
      </c>
      <c r="Q25" s="23">
        <f t="shared" si="2"/>
        <v>1.1495532887689697</v>
      </c>
    </row>
    <row r="26" spans="1:17">
      <c r="A26" s="94"/>
      <c r="B26" s="87"/>
      <c r="C26" s="87"/>
      <c r="D26" s="20">
        <v>12.31</v>
      </c>
      <c r="E26" s="20">
        <v>10371.02</v>
      </c>
      <c r="F26" s="20">
        <v>12.31</v>
      </c>
      <c r="G26" s="20">
        <v>10587.04</v>
      </c>
      <c r="H26" s="23">
        <f t="shared" si="0"/>
        <v>2.0829195199700745</v>
      </c>
      <c r="K26" s="85"/>
      <c r="L26" s="85"/>
      <c r="M26" s="15">
        <v>24.35</v>
      </c>
      <c r="N26" s="15">
        <v>35931.17</v>
      </c>
      <c r="O26" s="15">
        <v>24.35</v>
      </c>
      <c r="P26" s="15">
        <v>36817.67</v>
      </c>
      <c r="Q26" s="23">
        <f t="shared" si="2"/>
        <v>2.467217182184716</v>
      </c>
    </row>
    <row r="27" spans="1:17">
      <c r="A27" s="94"/>
      <c r="B27" s="87"/>
      <c r="C27" s="87"/>
      <c r="D27" s="15">
        <v>24.98</v>
      </c>
      <c r="E27" s="15">
        <v>23265.93</v>
      </c>
      <c r="F27" s="15">
        <v>24.98</v>
      </c>
      <c r="G27" s="15">
        <v>23265.93</v>
      </c>
      <c r="H27" s="26">
        <f t="shared" si="0"/>
        <v>0</v>
      </c>
      <c r="K27" s="85"/>
      <c r="L27" s="85"/>
      <c r="M27" s="15">
        <v>29.87</v>
      </c>
      <c r="N27" s="15">
        <v>45890.71</v>
      </c>
      <c r="O27" s="15">
        <v>29.14</v>
      </c>
      <c r="P27" s="15">
        <v>47756.36</v>
      </c>
      <c r="Q27" s="23">
        <f t="shared" si="2"/>
        <v>4.0654197766824733</v>
      </c>
    </row>
    <row r="28" spans="1:17">
      <c r="A28" s="94"/>
      <c r="B28" s="87"/>
      <c r="C28" s="88"/>
      <c r="D28" s="20">
        <v>12.53</v>
      </c>
      <c r="E28" s="20">
        <v>9931.5499999999993</v>
      </c>
      <c r="F28" s="20">
        <v>12.53</v>
      </c>
      <c r="G28" s="20">
        <v>10765.56</v>
      </c>
      <c r="H28" s="23">
        <f t="shared" si="0"/>
        <v>8.3975814449909656</v>
      </c>
      <c r="K28" s="85"/>
      <c r="L28" s="85"/>
      <c r="M28" s="15">
        <v>18.02</v>
      </c>
      <c r="N28" s="15">
        <v>24457.73</v>
      </c>
      <c r="O28" s="15">
        <v>15.78</v>
      </c>
      <c r="P28" s="15">
        <v>24631.16</v>
      </c>
      <c r="Q28" s="23">
        <f t="shared" si="2"/>
        <v>0.70910096726065863</v>
      </c>
    </row>
    <row r="29" spans="1:17">
      <c r="A29" s="94"/>
      <c r="B29" s="87"/>
      <c r="C29" s="86">
        <v>3</v>
      </c>
      <c r="D29" s="16">
        <v>4.71</v>
      </c>
      <c r="E29" s="16">
        <v>3417.42</v>
      </c>
      <c r="F29" s="16">
        <v>4.6500000000000004</v>
      </c>
      <c r="G29" s="16">
        <v>3502.83</v>
      </c>
      <c r="H29" s="25">
        <f t="shared" si="0"/>
        <v>2.4992538230594969</v>
      </c>
      <c r="K29" s="85"/>
      <c r="L29" s="85"/>
      <c r="M29" s="15">
        <v>24.47</v>
      </c>
      <c r="N29" s="15">
        <v>32536.11</v>
      </c>
      <c r="O29" s="15">
        <v>24.12</v>
      </c>
      <c r="P29" s="15">
        <v>33089.919999999998</v>
      </c>
      <c r="Q29" s="23">
        <f t="shared" si="2"/>
        <v>1.702139561244407</v>
      </c>
    </row>
    <row r="30" spans="1:17">
      <c r="A30" s="94"/>
      <c r="B30" s="87"/>
      <c r="C30" s="87"/>
      <c r="D30" s="20">
        <v>8.43</v>
      </c>
      <c r="E30" s="20">
        <v>8109.63</v>
      </c>
      <c r="F30" s="20">
        <v>8.43</v>
      </c>
      <c r="G30" s="20">
        <v>8808.91</v>
      </c>
      <c r="H30" s="25">
        <f t="shared" si="0"/>
        <v>8.6228348272362574</v>
      </c>
      <c r="K30" s="85"/>
      <c r="L30" s="85"/>
      <c r="M30" s="15">
        <v>20.2</v>
      </c>
      <c r="N30" s="15">
        <v>25424.55</v>
      </c>
      <c r="O30" s="15">
        <v>19.07</v>
      </c>
      <c r="P30" s="15">
        <v>26641.77</v>
      </c>
      <c r="Q30" s="23">
        <f t="shared" si="2"/>
        <v>4.7875773612512367</v>
      </c>
    </row>
    <row r="31" spans="1:17">
      <c r="A31" s="94"/>
      <c r="B31" s="87"/>
      <c r="C31" s="87"/>
      <c r="D31" s="16">
        <v>12.23</v>
      </c>
      <c r="E31" s="16">
        <v>13635.68</v>
      </c>
      <c r="F31" s="16">
        <v>11.25</v>
      </c>
      <c r="G31" s="16">
        <v>14086.65</v>
      </c>
      <c r="H31" s="25">
        <f t="shared" si="0"/>
        <v>3.3072791382607933</v>
      </c>
      <c r="K31" s="85"/>
      <c r="L31" s="85"/>
      <c r="M31" s="15">
        <v>21.59</v>
      </c>
      <c r="N31" s="15">
        <v>28942.86</v>
      </c>
      <c r="O31" s="15">
        <v>20.88</v>
      </c>
      <c r="P31" s="15">
        <v>29077.54</v>
      </c>
      <c r="Q31" s="23">
        <f t="shared" si="2"/>
        <v>0.46533065495255233</v>
      </c>
    </row>
    <row r="32" spans="1:17">
      <c r="A32" s="94"/>
      <c r="B32" s="87"/>
      <c r="C32" s="87"/>
      <c r="D32" s="16">
        <v>5.41</v>
      </c>
      <c r="E32" s="16">
        <v>5142.8599999999997</v>
      </c>
      <c r="F32" s="16">
        <v>5.41</v>
      </c>
      <c r="G32" s="16">
        <v>5142.8599999999997</v>
      </c>
      <c r="H32" s="26">
        <f t="shared" si="0"/>
        <v>0</v>
      </c>
      <c r="K32" s="85"/>
      <c r="L32" s="85"/>
      <c r="M32" s="15">
        <v>36.44</v>
      </c>
      <c r="N32" s="15">
        <v>48175.44</v>
      </c>
      <c r="O32" s="15">
        <v>33.4</v>
      </c>
      <c r="P32" s="15">
        <v>51171.08</v>
      </c>
      <c r="Q32" s="23">
        <f t="shared" si="2"/>
        <v>6.2181891851947775</v>
      </c>
    </row>
    <row r="33" spans="1:17">
      <c r="A33" s="94"/>
      <c r="B33" s="88"/>
      <c r="C33" s="88"/>
      <c r="D33" s="16">
        <v>6.3</v>
      </c>
      <c r="E33" s="16">
        <v>4303.66</v>
      </c>
      <c r="F33" s="16">
        <v>5.79</v>
      </c>
      <c r="G33" s="16">
        <v>4327.8500000000004</v>
      </c>
      <c r="H33" s="25">
        <f t="shared" si="0"/>
        <v>0.56207971819336355</v>
      </c>
      <c r="K33" s="85"/>
      <c r="L33" s="85"/>
      <c r="M33" s="15">
        <v>25.19</v>
      </c>
      <c r="N33" s="15">
        <v>36646.9</v>
      </c>
      <c r="O33" s="15">
        <v>25.19</v>
      </c>
      <c r="P33" s="15">
        <v>37270.089999999997</v>
      </c>
      <c r="Q33" s="23">
        <f t="shared" si="2"/>
        <v>1.7005258289241247</v>
      </c>
    </row>
    <row r="34" spans="1:17">
      <c r="A34" s="94"/>
      <c r="B34" s="86">
        <v>10</v>
      </c>
      <c r="C34" s="86">
        <v>3</v>
      </c>
      <c r="D34" s="15">
        <v>24.47</v>
      </c>
      <c r="E34" s="15">
        <v>32536.11</v>
      </c>
      <c r="F34" s="15">
        <v>24.12</v>
      </c>
      <c r="G34" s="15">
        <v>33089.919999999998</v>
      </c>
      <c r="H34" s="23">
        <f t="shared" si="0"/>
        <v>1.702139561244407</v>
      </c>
      <c r="K34" s="85"/>
      <c r="L34" s="85">
        <v>4</v>
      </c>
      <c r="M34" s="16">
        <v>7.46</v>
      </c>
      <c r="N34" s="16">
        <v>10237.34</v>
      </c>
      <c r="O34" s="16">
        <v>7.46</v>
      </c>
      <c r="P34" s="16">
        <v>10316.99</v>
      </c>
      <c r="Q34" s="25">
        <f t="shared" si="2"/>
        <v>0.7780341377740666</v>
      </c>
    </row>
    <row r="35" spans="1:17">
      <c r="A35" s="94"/>
      <c r="B35" s="87"/>
      <c r="C35" s="87"/>
      <c r="D35" s="15">
        <v>20.2</v>
      </c>
      <c r="E35" s="15">
        <v>25424.55</v>
      </c>
      <c r="F35" s="15">
        <v>19.07</v>
      </c>
      <c r="G35" s="15">
        <v>26641.77</v>
      </c>
      <c r="H35" s="23">
        <f t="shared" si="0"/>
        <v>4.7875773612512367</v>
      </c>
      <c r="K35" s="85"/>
      <c r="L35" s="85"/>
      <c r="M35" s="16">
        <v>9.39</v>
      </c>
      <c r="N35" s="16">
        <v>14838.71</v>
      </c>
      <c r="O35" s="16">
        <v>9.14</v>
      </c>
      <c r="P35" s="16">
        <v>15333.27</v>
      </c>
      <c r="Q35" s="25">
        <f t="shared" si="2"/>
        <v>3.3329042753716549</v>
      </c>
    </row>
    <row r="36" spans="1:17">
      <c r="A36" s="94"/>
      <c r="B36" s="87"/>
      <c r="C36" s="87"/>
      <c r="D36" s="15">
        <v>21.59</v>
      </c>
      <c r="E36" s="15">
        <v>28942.86</v>
      </c>
      <c r="F36" s="15">
        <v>20.88</v>
      </c>
      <c r="G36" s="15">
        <v>29077.54</v>
      </c>
      <c r="H36" s="23">
        <f t="shared" si="0"/>
        <v>0.46533065495255233</v>
      </c>
      <c r="K36" s="85"/>
      <c r="L36" s="85"/>
      <c r="M36" s="16">
        <v>11.86</v>
      </c>
      <c r="N36" s="16">
        <v>20464.03</v>
      </c>
      <c r="O36" s="16">
        <v>11.5</v>
      </c>
      <c r="P36" s="16">
        <v>22197.55</v>
      </c>
      <c r="Q36" s="25">
        <f t="shared" si="2"/>
        <v>8.4710587308560452</v>
      </c>
    </row>
    <row r="37" spans="1:17">
      <c r="A37" s="94"/>
      <c r="B37" s="87"/>
      <c r="C37" s="87"/>
      <c r="D37" s="15">
        <v>36.44</v>
      </c>
      <c r="E37" s="15">
        <v>48175.44</v>
      </c>
      <c r="F37" s="15">
        <v>33.4</v>
      </c>
      <c r="G37" s="15">
        <v>51171.08</v>
      </c>
      <c r="H37" s="23">
        <f t="shared" si="0"/>
        <v>6.2181891851947775</v>
      </c>
      <c r="K37" s="85"/>
      <c r="L37" s="85"/>
      <c r="M37" s="16">
        <v>11.15</v>
      </c>
      <c r="N37" s="16">
        <v>17350.88</v>
      </c>
      <c r="O37" s="16">
        <v>11.05</v>
      </c>
      <c r="P37" s="16">
        <v>19094.61</v>
      </c>
      <c r="Q37" s="25">
        <f t="shared" si="2"/>
        <v>10.049807272023086</v>
      </c>
    </row>
    <row r="38" spans="1:17">
      <c r="A38" s="94"/>
      <c r="B38" s="87"/>
      <c r="C38" s="88"/>
      <c r="D38" s="20">
        <v>25.19</v>
      </c>
      <c r="E38" s="20">
        <v>36646.9</v>
      </c>
      <c r="F38" s="20">
        <v>25.19</v>
      </c>
      <c r="G38" s="20">
        <v>37270.089999999997</v>
      </c>
      <c r="H38" s="23">
        <f t="shared" si="0"/>
        <v>1.7005258289241247</v>
      </c>
      <c r="K38" s="85"/>
      <c r="L38" s="85"/>
      <c r="M38" s="16">
        <v>11.47</v>
      </c>
      <c r="N38" s="16">
        <v>17429.439999999999</v>
      </c>
      <c r="O38" s="16">
        <v>9.82</v>
      </c>
      <c r="P38" s="16">
        <v>17889.259999999998</v>
      </c>
      <c r="Q38" s="25">
        <f t="shared" si="2"/>
        <v>2.6381799988984143</v>
      </c>
    </row>
    <row r="39" spans="1:17">
      <c r="A39" s="94"/>
      <c r="B39" s="87"/>
      <c r="C39" s="86">
        <v>4</v>
      </c>
      <c r="D39" s="16">
        <v>9.0299999999999994</v>
      </c>
      <c r="E39" s="16">
        <v>13187.24</v>
      </c>
      <c r="F39" s="16">
        <v>8.91</v>
      </c>
      <c r="G39" s="16">
        <v>13926.01</v>
      </c>
      <c r="H39" s="25">
        <f t="shared" si="0"/>
        <v>5.6021578434911357</v>
      </c>
      <c r="K39" s="85"/>
      <c r="L39" s="85"/>
      <c r="M39" s="16">
        <v>9.0299999999999994</v>
      </c>
      <c r="N39" s="16">
        <v>13187.24</v>
      </c>
      <c r="O39" s="16">
        <v>8.91</v>
      </c>
      <c r="P39" s="16">
        <v>13926.01</v>
      </c>
      <c r="Q39" s="25">
        <f t="shared" si="2"/>
        <v>5.6021578434911357</v>
      </c>
    </row>
    <row r="40" spans="1:17">
      <c r="A40" s="94"/>
      <c r="B40" s="87"/>
      <c r="C40" s="87"/>
      <c r="D40" s="16">
        <v>11.81</v>
      </c>
      <c r="E40" s="16">
        <v>19578.7</v>
      </c>
      <c r="F40" s="16">
        <v>11.66</v>
      </c>
      <c r="G40" s="16">
        <v>19807.900000000001</v>
      </c>
      <c r="H40" s="25">
        <f t="shared" si="0"/>
        <v>1.1706599518864924</v>
      </c>
      <c r="K40" s="85"/>
      <c r="L40" s="85"/>
      <c r="M40" s="16">
        <v>11.81</v>
      </c>
      <c r="N40" s="16">
        <v>19578.7</v>
      </c>
      <c r="O40" s="16">
        <v>11.66</v>
      </c>
      <c r="P40" s="16">
        <v>19807.900000000001</v>
      </c>
      <c r="Q40" s="25">
        <f t="shared" si="2"/>
        <v>1.1706599518864924</v>
      </c>
    </row>
    <row r="41" spans="1:17">
      <c r="A41" s="94"/>
      <c r="B41" s="87"/>
      <c r="C41" s="87"/>
      <c r="D41" s="20">
        <v>15.8</v>
      </c>
      <c r="E41" s="20">
        <v>28538.06</v>
      </c>
      <c r="F41" s="20">
        <v>15.8</v>
      </c>
      <c r="G41" s="20">
        <v>28917.79</v>
      </c>
      <c r="H41" s="25">
        <f t="shared" si="0"/>
        <v>1.3306090182724388</v>
      </c>
      <c r="K41" s="85"/>
      <c r="L41" s="85"/>
      <c r="M41" s="16">
        <v>15.8</v>
      </c>
      <c r="N41" s="16">
        <v>28538.06</v>
      </c>
      <c r="O41" s="16">
        <v>15.8</v>
      </c>
      <c r="P41" s="16">
        <v>28917.79</v>
      </c>
      <c r="Q41" s="25">
        <f t="shared" si="2"/>
        <v>1.3306090182724388</v>
      </c>
    </row>
    <row r="42" spans="1:17">
      <c r="A42" s="94"/>
      <c r="B42" s="87"/>
      <c r="C42" s="87"/>
      <c r="D42" s="16">
        <v>9.51</v>
      </c>
      <c r="E42" s="16">
        <v>14947.64</v>
      </c>
      <c r="F42" s="16">
        <v>9.51</v>
      </c>
      <c r="G42" s="16">
        <v>14947.64</v>
      </c>
      <c r="H42" s="26">
        <f t="shared" si="0"/>
        <v>0</v>
      </c>
      <c r="K42" s="85"/>
      <c r="L42" s="85"/>
      <c r="M42" s="16">
        <v>9.51</v>
      </c>
      <c r="N42" s="16">
        <v>14947.64</v>
      </c>
      <c r="O42" s="16">
        <v>9.51</v>
      </c>
      <c r="P42" s="16">
        <v>14947.64</v>
      </c>
      <c r="Q42" s="26">
        <f t="shared" si="2"/>
        <v>0</v>
      </c>
    </row>
    <row r="43" spans="1:17">
      <c r="A43" s="94"/>
      <c r="B43" s="88"/>
      <c r="C43" s="88"/>
      <c r="D43" s="16">
        <v>12.2</v>
      </c>
      <c r="E43" s="16">
        <v>17866.099999999999</v>
      </c>
      <c r="F43" s="16">
        <v>11.36</v>
      </c>
      <c r="G43" s="16">
        <v>18922.64</v>
      </c>
      <c r="H43" s="25">
        <f t="shared" si="0"/>
        <v>5.913657709293024</v>
      </c>
      <c r="K43" s="85"/>
      <c r="L43" s="85"/>
      <c r="M43" s="16">
        <v>12.2</v>
      </c>
      <c r="N43" s="16">
        <v>17866.099999999999</v>
      </c>
      <c r="O43" s="16">
        <v>11.36</v>
      </c>
      <c r="P43" s="16">
        <v>18922.64</v>
      </c>
      <c r="Q43" s="25">
        <f t="shared" si="2"/>
        <v>5.913657709293024</v>
      </c>
    </row>
    <row r="44" spans="1:17">
      <c r="A44" s="61"/>
      <c r="B44" s="61"/>
      <c r="C44" s="61"/>
      <c r="D44" s="29">
        <f>AVERAGE(D24:D43)</f>
        <v>15.064999999999998</v>
      </c>
      <c r="E44" s="29">
        <f>AVERAGE(E24:E43)</f>
        <v>18402.378499999999</v>
      </c>
      <c r="F44" s="29">
        <f>AVERAGE(F24:F43)</f>
        <v>14.646000000000001</v>
      </c>
      <c r="G44" s="29">
        <f>AVERAGE(G24:G43)</f>
        <v>18916.240000000005</v>
      </c>
      <c r="H44" s="30">
        <f>AVERAGE(H24:H43)</f>
        <v>2.7419444244570577</v>
      </c>
    </row>
    <row r="45" spans="1:17">
      <c r="A45" s="17"/>
      <c r="B45" s="17"/>
      <c r="C45" s="17"/>
      <c r="D45" s="18"/>
      <c r="E45" s="18"/>
      <c r="F45" s="18"/>
      <c r="G45" s="18"/>
    </row>
    <row r="47" spans="1:17">
      <c r="A47" s="90" t="s">
        <v>0</v>
      </c>
      <c r="B47" s="91"/>
      <c r="C47" s="91"/>
      <c r="D47" s="90" t="s">
        <v>42</v>
      </c>
      <c r="E47" s="91"/>
      <c r="F47" s="90" t="s">
        <v>43</v>
      </c>
      <c r="G47" s="91"/>
      <c r="H47" s="92" t="s">
        <v>15</v>
      </c>
    </row>
    <row r="48" spans="1:17">
      <c r="A48" s="12" t="s">
        <v>7</v>
      </c>
      <c r="B48" s="13" t="s">
        <v>10</v>
      </c>
      <c r="C48" s="13" t="s">
        <v>11</v>
      </c>
      <c r="D48" s="12" t="s">
        <v>12</v>
      </c>
      <c r="E48" s="12" t="s">
        <v>13</v>
      </c>
      <c r="F48" s="12" t="s">
        <v>35</v>
      </c>
      <c r="G48" s="12" t="s">
        <v>14</v>
      </c>
      <c r="H48" s="93"/>
    </row>
    <row r="49" spans="1:8">
      <c r="A49" s="95" t="s">
        <v>8</v>
      </c>
      <c r="B49" s="86">
        <v>5</v>
      </c>
      <c r="C49" s="86">
        <v>2</v>
      </c>
      <c r="D49" s="15">
        <v>14.96</v>
      </c>
      <c r="E49" s="15">
        <v>14864.49</v>
      </c>
      <c r="F49" s="15">
        <v>14.96</v>
      </c>
      <c r="G49" s="15">
        <v>14864.49</v>
      </c>
      <c r="H49" s="26">
        <f>(G49-E49)/E49*100</f>
        <v>0</v>
      </c>
    </row>
    <row r="50" spans="1:8">
      <c r="A50" s="96"/>
      <c r="B50" s="87"/>
      <c r="C50" s="87"/>
      <c r="D50" s="20">
        <v>12.19</v>
      </c>
      <c r="E50" s="20">
        <v>10514.44</v>
      </c>
      <c r="F50" s="20">
        <v>12.19</v>
      </c>
      <c r="G50" s="20">
        <v>11178.68</v>
      </c>
      <c r="H50" s="23">
        <f t="shared" ref="H50:H95" si="3">(G50-E50)/E50*100</f>
        <v>6.3174072989146328</v>
      </c>
    </row>
    <row r="51" spans="1:8">
      <c r="A51" s="96"/>
      <c r="B51" s="87"/>
      <c r="C51" s="87"/>
      <c r="D51" s="15">
        <v>10.46</v>
      </c>
      <c r="E51" s="15">
        <v>8002.47</v>
      </c>
      <c r="F51" s="15">
        <v>9.32</v>
      </c>
      <c r="G51" s="15">
        <v>8568.41</v>
      </c>
      <c r="H51" s="23">
        <f t="shared" si="3"/>
        <v>7.072066499468284</v>
      </c>
    </row>
    <row r="52" spans="1:8">
      <c r="A52" s="96"/>
      <c r="B52" s="87"/>
      <c r="C52" s="87"/>
      <c r="D52" s="15">
        <v>9.44</v>
      </c>
      <c r="E52" s="15">
        <v>7905.39</v>
      </c>
      <c r="F52" s="15">
        <v>9.44</v>
      </c>
      <c r="G52" s="15">
        <v>7905.39</v>
      </c>
      <c r="H52" s="26">
        <f t="shared" si="3"/>
        <v>0</v>
      </c>
    </row>
    <row r="53" spans="1:8">
      <c r="A53" s="96"/>
      <c r="B53" s="87"/>
      <c r="C53" s="88"/>
      <c r="D53" s="15">
        <v>10.65</v>
      </c>
      <c r="E53" s="15">
        <v>8254.69</v>
      </c>
      <c r="F53" s="15">
        <v>10.33</v>
      </c>
      <c r="G53" s="15">
        <v>8614.48</v>
      </c>
      <c r="H53" s="23">
        <f t="shared" si="3"/>
        <v>4.3586131035811038</v>
      </c>
    </row>
    <row r="54" spans="1:8">
      <c r="A54" s="96"/>
      <c r="B54" s="87"/>
      <c r="C54" s="60"/>
      <c r="D54" s="29">
        <f>AVERAGE(D49:D53)</f>
        <v>11.54</v>
      </c>
      <c r="E54" s="29">
        <f>AVERAGE(E49:E53)</f>
        <v>9908.2960000000003</v>
      </c>
      <c r="F54" s="29">
        <f>AVERAGE(F49:F53)</f>
        <v>11.247999999999999</v>
      </c>
      <c r="G54" s="29">
        <f>AVERAGE(G49:G53)</f>
        <v>10226.289999999999</v>
      </c>
      <c r="H54" s="30">
        <f>AVERAGE(H49:H53)</f>
        <v>3.5496173803928039</v>
      </c>
    </row>
    <row r="55" spans="1:8">
      <c r="A55" s="96"/>
      <c r="B55" s="87"/>
      <c r="C55" s="86">
        <v>3</v>
      </c>
      <c r="D55" s="16">
        <v>4.75</v>
      </c>
      <c r="E55" s="16">
        <v>3519.7</v>
      </c>
      <c r="F55" s="16">
        <v>4.75</v>
      </c>
      <c r="G55" s="16">
        <v>3519.7</v>
      </c>
      <c r="H55" s="26">
        <f t="shared" si="3"/>
        <v>0</v>
      </c>
    </row>
    <row r="56" spans="1:8">
      <c r="A56" s="96"/>
      <c r="B56" s="87"/>
      <c r="C56" s="87"/>
      <c r="D56" s="20">
        <v>4.63</v>
      </c>
      <c r="E56" s="20">
        <v>4639.67</v>
      </c>
      <c r="F56" s="20">
        <v>4.63</v>
      </c>
      <c r="G56" s="20">
        <v>4762.7700000000004</v>
      </c>
      <c r="H56" s="25">
        <f t="shared" si="3"/>
        <v>2.6532059392155123</v>
      </c>
    </row>
    <row r="57" spans="1:8">
      <c r="A57" s="96"/>
      <c r="B57" s="87"/>
      <c r="C57" s="87"/>
      <c r="D57" s="16">
        <v>5.14</v>
      </c>
      <c r="E57" s="16">
        <v>4952.83</v>
      </c>
      <c r="F57" s="16">
        <v>5.14</v>
      </c>
      <c r="G57" s="16">
        <v>4952.83</v>
      </c>
      <c r="H57" s="26">
        <f t="shared" si="3"/>
        <v>0</v>
      </c>
    </row>
    <row r="58" spans="1:8">
      <c r="A58" s="96"/>
      <c r="B58" s="87"/>
      <c r="C58" s="87"/>
      <c r="D58" s="16">
        <v>9.5500000000000007</v>
      </c>
      <c r="E58" s="16">
        <v>11218.49</v>
      </c>
      <c r="F58" s="16">
        <v>9.2899999999999991</v>
      </c>
      <c r="G58" s="16">
        <v>11223.78</v>
      </c>
      <c r="H58" s="25">
        <f t="shared" si="3"/>
        <v>4.7154296166425899E-2</v>
      </c>
    </row>
    <row r="59" spans="1:8">
      <c r="A59" s="96"/>
      <c r="B59" s="87"/>
      <c r="C59" s="88"/>
      <c r="D59" s="20">
        <v>7.61</v>
      </c>
      <c r="E59" s="20">
        <v>7320</v>
      </c>
      <c r="F59" s="20">
        <v>7.61</v>
      </c>
      <c r="G59" s="20">
        <v>7827.61</v>
      </c>
      <c r="H59" s="25">
        <f t="shared" si="3"/>
        <v>6.9345628415300498</v>
      </c>
    </row>
    <row r="60" spans="1:8">
      <c r="A60" s="96"/>
      <c r="B60" s="88"/>
      <c r="C60" s="60"/>
      <c r="D60" s="29">
        <f>AVERAGE(D55:D59)</f>
        <v>6.3360000000000003</v>
      </c>
      <c r="E60" s="29">
        <f>AVERAGE(E55:E59)</f>
        <v>6330.1380000000008</v>
      </c>
      <c r="F60" s="29">
        <f>AVERAGE(F55:F59)</f>
        <v>6.2839999999999998</v>
      </c>
      <c r="G60" s="29">
        <f>AVERAGE(G55:G59)</f>
        <v>6457.3380000000006</v>
      </c>
      <c r="H60" s="30">
        <f>AVERAGE(H55:H59)</f>
        <v>1.9269846153823977</v>
      </c>
    </row>
    <row r="61" spans="1:8">
      <c r="A61" s="96"/>
      <c r="B61" s="86">
        <v>10</v>
      </c>
      <c r="C61" s="86">
        <v>3</v>
      </c>
      <c r="D61" s="15">
        <v>18.87</v>
      </c>
      <c r="E61" s="15">
        <v>29400.55</v>
      </c>
      <c r="F61" s="15">
        <v>18.87</v>
      </c>
      <c r="G61" s="15">
        <v>29400.55</v>
      </c>
      <c r="H61" s="26">
        <f t="shared" si="3"/>
        <v>0</v>
      </c>
    </row>
    <row r="62" spans="1:8">
      <c r="A62" s="96"/>
      <c r="B62" s="87"/>
      <c r="C62" s="87"/>
      <c r="D62" s="15">
        <v>18.190000000000001</v>
      </c>
      <c r="E62" s="15">
        <v>26849.56</v>
      </c>
      <c r="F62" s="15">
        <v>17.66</v>
      </c>
      <c r="G62" s="15">
        <v>27158.21</v>
      </c>
      <c r="H62" s="23">
        <f t="shared" si="3"/>
        <v>1.1495532887689697</v>
      </c>
    </row>
    <row r="63" spans="1:8">
      <c r="A63" s="96"/>
      <c r="B63" s="87"/>
      <c r="C63" s="87"/>
      <c r="D63" s="20">
        <v>24.35</v>
      </c>
      <c r="E63" s="20">
        <v>35931.17</v>
      </c>
      <c r="F63" s="20">
        <v>24.35</v>
      </c>
      <c r="G63" s="20">
        <v>36817.67</v>
      </c>
      <c r="H63" s="23">
        <f t="shared" si="3"/>
        <v>2.467217182184716</v>
      </c>
    </row>
    <row r="64" spans="1:8">
      <c r="A64" s="96"/>
      <c r="B64" s="87"/>
      <c r="C64" s="87"/>
      <c r="D64" s="15">
        <v>29.87</v>
      </c>
      <c r="E64" s="15">
        <v>45890.71</v>
      </c>
      <c r="F64" s="15">
        <v>29.14</v>
      </c>
      <c r="G64" s="15">
        <v>47756.36</v>
      </c>
      <c r="H64" s="23">
        <f t="shared" si="3"/>
        <v>4.0654197766824733</v>
      </c>
    </row>
    <row r="65" spans="1:8">
      <c r="A65" s="96"/>
      <c r="B65" s="87"/>
      <c r="C65" s="88"/>
      <c r="D65" s="15">
        <v>18.02</v>
      </c>
      <c r="E65" s="15">
        <v>24457.73</v>
      </c>
      <c r="F65" s="15">
        <v>15.78</v>
      </c>
      <c r="G65" s="15">
        <v>24631.16</v>
      </c>
      <c r="H65" s="23">
        <f t="shared" si="3"/>
        <v>0.70910096726065863</v>
      </c>
    </row>
    <row r="66" spans="1:8">
      <c r="A66" s="96"/>
      <c r="B66" s="87"/>
      <c r="C66" s="60"/>
      <c r="D66" s="29">
        <f>AVERAGE(D61:D65)</f>
        <v>21.86</v>
      </c>
      <c r="E66" s="29">
        <f>AVERAGE(E61:E65)</f>
        <v>32505.944</v>
      </c>
      <c r="F66" s="29">
        <f>AVERAGE(F61:F65)</f>
        <v>21.160000000000004</v>
      </c>
      <c r="G66" s="29">
        <f>AVERAGE(G61:G65)</f>
        <v>33152.789999999994</v>
      </c>
      <c r="H66" s="30">
        <f>AVERAGE(H61:H65)</f>
        <v>1.6782582429793635</v>
      </c>
    </row>
    <row r="67" spans="1:8">
      <c r="A67" s="96"/>
      <c r="B67" s="87"/>
      <c r="C67" s="86">
        <v>4</v>
      </c>
      <c r="D67" s="20">
        <v>7.46</v>
      </c>
      <c r="E67" s="20">
        <v>10237.34</v>
      </c>
      <c r="F67" s="20">
        <v>7.46</v>
      </c>
      <c r="G67" s="20">
        <v>10316.99</v>
      </c>
      <c r="H67" s="25">
        <f t="shared" si="3"/>
        <v>0.7780341377740666</v>
      </c>
    </row>
    <row r="68" spans="1:8">
      <c r="A68" s="96"/>
      <c r="B68" s="87"/>
      <c r="C68" s="87"/>
      <c r="D68" s="16">
        <v>9.39</v>
      </c>
      <c r="E68" s="16">
        <v>14838.71</v>
      </c>
      <c r="F68" s="16">
        <v>9.14</v>
      </c>
      <c r="G68" s="16">
        <v>15333.27</v>
      </c>
      <c r="H68" s="25">
        <f t="shared" si="3"/>
        <v>3.3329042753716549</v>
      </c>
    </row>
    <row r="69" spans="1:8">
      <c r="A69" s="96"/>
      <c r="B69" s="87"/>
      <c r="C69" s="87"/>
      <c r="D69" s="16">
        <v>11.86</v>
      </c>
      <c r="E69" s="16">
        <v>20464.03</v>
      </c>
      <c r="F69" s="16">
        <v>11.5</v>
      </c>
      <c r="G69" s="16">
        <v>22197.55</v>
      </c>
      <c r="H69" s="25">
        <f t="shared" si="3"/>
        <v>8.4710587308560452</v>
      </c>
    </row>
    <row r="70" spans="1:8">
      <c r="A70" s="96"/>
      <c r="B70" s="87"/>
      <c r="C70" s="87"/>
      <c r="D70" s="16">
        <v>11.15</v>
      </c>
      <c r="E70" s="16">
        <v>17350.88</v>
      </c>
      <c r="F70" s="16">
        <v>11.05</v>
      </c>
      <c r="G70" s="16">
        <v>19094.61</v>
      </c>
      <c r="H70" s="25">
        <f t="shared" si="3"/>
        <v>10.049807272023086</v>
      </c>
    </row>
    <row r="71" spans="1:8">
      <c r="A71" s="96"/>
      <c r="B71" s="87"/>
      <c r="C71" s="88"/>
      <c r="D71" s="16">
        <v>11.47</v>
      </c>
      <c r="E71" s="16">
        <v>17429.439999999999</v>
      </c>
      <c r="F71" s="16">
        <v>9.82</v>
      </c>
      <c r="G71" s="16">
        <v>17889.259999999998</v>
      </c>
      <c r="H71" s="25">
        <f t="shared" si="3"/>
        <v>2.6381799988984143</v>
      </c>
    </row>
    <row r="72" spans="1:8">
      <c r="A72" s="97"/>
      <c r="B72" s="88"/>
      <c r="C72" s="60"/>
      <c r="D72" s="29">
        <f>AVERAGE(D67:D71)</f>
        <v>10.266</v>
      </c>
      <c r="E72" s="29">
        <f>AVERAGE(E67:E71)</f>
        <v>16064.080000000002</v>
      </c>
      <c r="F72" s="29">
        <f>AVERAGE(F67:F71)</f>
        <v>9.7940000000000005</v>
      </c>
      <c r="G72" s="29">
        <f>AVERAGE(G67:G71)</f>
        <v>16966.335999999999</v>
      </c>
      <c r="H72" s="30">
        <f>AVERAGE(H67:H71)</f>
        <v>5.053996882984654</v>
      </c>
    </row>
    <row r="73" spans="1:8">
      <c r="A73" s="94" t="s">
        <v>9</v>
      </c>
      <c r="B73" s="85">
        <v>5</v>
      </c>
      <c r="C73" s="86">
        <v>2</v>
      </c>
      <c r="D73" s="15">
        <v>17.16</v>
      </c>
      <c r="E73" s="15">
        <v>15924.86</v>
      </c>
      <c r="F73" s="15">
        <v>17.16</v>
      </c>
      <c r="G73" s="15">
        <v>15924.86</v>
      </c>
      <c r="H73" s="26">
        <f t="shared" si="3"/>
        <v>0</v>
      </c>
    </row>
    <row r="74" spans="1:8">
      <c r="A74" s="94"/>
      <c r="B74" s="85"/>
      <c r="C74" s="87"/>
      <c r="D74" s="15">
        <v>11</v>
      </c>
      <c r="E74" s="15">
        <v>8101.36</v>
      </c>
      <c r="F74" s="15">
        <v>10.51</v>
      </c>
      <c r="G74" s="15">
        <v>8139.93</v>
      </c>
      <c r="H74" s="23">
        <f t="shared" si="3"/>
        <v>0.47609290292001127</v>
      </c>
    </row>
    <row r="75" spans="1:8">
      <c r="A75" s="94"/>
      <c r="B75" s="85"/>
      <c r="C75" s="87"/>
      <c r="D75" s="20">
        <v>12.31</v>
      </c>
      <c r="E75" s="20">
        <v>10371.02</v>
      </c>
      <c r="F75" s="20">
        <v>12.31</v>
      </c>
      <c r="G75" s="20">
        <v>10587.04</v>
      </c>
      <c r="H75" s="23">
        <f t="shared" si="3"/>
        <v>2.0829195199700745</v>
      </c>
    </row>
    <row r="76" spans="1:8">
      <c r="A76" s="94"/>
      <c r="B76" s="85"/>
      <c r="C76" s="87"/>
      <c r="D76" s="15">
        <v>24.98</v>
      </c>
      <c r="E76" s="15">
        <v>23265.93</v>
      </c>
      <c r="F76" s="15">
        <v>24.98</v>
      </c>
      <c r="G76" s="15">
        <v>23265.93</v>
      </c>
      <c r="H76" s="26">
        <f t="shared" si="3"/>
        <v>0</v>
      </c>
    </row>
    <row r="77" spans="1:8">
      <c r="A77" s="94"/>
      <c r="B77" s="85"/>
      <c r="C77" s="88"/>
      <c r="D77" s="20">
        <v>12.53</v>
      </c>
      <c r="E77" s="20">
        <v>9931.5499999999993</v>
      </c>
      <c r="F77" s="20">
        <v>12.53</v>
      </c>
      <c r="G77" s="20">
        <v>10765.56</v>
      </c>
      <c r="H77" s="23">
        <f t="shared" si="3"/>
        <v>8.3975814449909656</v>
      </c>
    </row>
    <row r="78" spans="1:8">
      <c r="A78" s="94"/>
      <c r="B78" s="85"/>
      <c r="C78" s="60"/>
      <c r="D78" s="29">
        <f>AVERAGE(D73:D77)</f>
        <v>15.596</v>
      </c>
      <c r="E78" s="29">
        <f>AVERAGE(E73:E77)</f>
        <v>13518.944</v>
      </c>
      <c r="F78" s="29">
        <f>AVERAGE(F73:F77)</f>
        <v>15.498000000000001</v>
      </c>
      <c r="G78" s="29">
        <f>AVERAGE(G73:G77)</f>
        <v>13736.664000000001</v>
      </c>
      <c r="H78" s="30">
        <f>AVERAGE(H73:H77)</f>
        <v>2.1913187735762101</v>
      </c>
    </row>
    <row r="79" spans="1:8">
      <c r="A79" s="94"/>
      <c r="B79" s="85"/>
      <c r="C79" s="86">
        <v>3</v>
      </c>
      <c r="D79" s="16">
        <v>4.71</v>
      </c>
      <c r="E79" s="16">
        <v>3417.42</v>
      </c>
      <c r="F79" s="16">
        <v>4.6500000000000004</v>
      </c>
      <c r="G79" s="16">
        <v>3502.83</v>
      </c>
      <c r="H79" s="25">
        <f t="shared" si="3"/>
        <v>2.4992538230594969</v>
      </c>
    </row>
    <row r="80" spans="1:8">
      <c r="A80" s="94"/>
      <c r="B80" s="85"/>
      <c r="C80" s="87"/>
      <c r="D80" s="20">
        <v>8.43</v>
      </c>
      <c r="E80" s="20">
        <v>8109.63</v>
      </c>
      <c r="F80" s="20">
        <v>8.43</v>
      </c>
      <c r="G80" s="20">
        <v>8808.91</v>
      </c>
      <c r="H80" s="25">
        <f t="shared" si="3"/>
        <v>8.6228348272362574</v>
      </c>
    </row>
    <row r="81" spans="1:8">
      <c r="A81" s="94"/>
      <c r="B81" s="85"/>
      <c r="C81" s="87"/>
      <c r="D81" s="16">
        <v>12.23</v>
      </c>
      <c r="E81" s="16">
        <v>13635.68</v>
      </c>
      <c r="F81" s="16">
        <v>11.25</v>
      </c>
      <c r="G81" s="16">
        <v>14086.65</v>
      </c>
      <c r="H81" s="25">
        <f t="shared" si="3"/>
        <v>3.3072791382607933</v>
      </c>
    </row>
    <row r="82" spans="1:8">
      <c r="A82" s="94"/>
      <c r="B82" s="85"/>
      <c r="C82" s="87"/>
      <c r="D82" s="16">
        <v>5.41</v>
      </c>
      <c r="E82" s="16">
        <v>5142.8599999999997</v>
      </c>
      <c r="F82" s="16">
        <v>5.41</v>
      </c>
      <c r="G82" s="16">
        <v>5142.8599999999997</v>
      </c>
      <c r="H82" s="26">
        <f t="shared" si="3"/>
        <v>0</v>
      </c>
    </row>
    <row r="83" spans="1:8">
      <c r="A83" s="94"/>
      <c r="B83" s="85"/>
      <c r="C83" s="88"/>
      <c r="D83" s="16">
        <v>6.3</v>
      </c>
      <c r="E83" s="16">
        <v>4303.66</v>
      </c>
      <c r="F83" s="16">
        <v>5.79</v>
      </c>
      <c r="G83" s="16">
        <v>4327.8500000000004</v>
      </c>
      <c r="H83" s="25">
        <f t="shared" si="3"/>
        <v>0.56207971819336355</v>
      </c>
    </row>
    <row r="84" spans="1:8">
      <c r="A84" s="94"/>
      <c r="B84" s="85"/>
      <c r="C84" s="60"/>
      <c r="D84" s="29">
        <f>AVERAGE(D79:D83)</f>
        <v>7.4159999999999995</v>
      </c>
      <c r="E84" s="29">
        <f>AVERAGE(E79:E83)</f>
        <v>6921.85</v>
      </c>
      <c r="F84" s="29">
        <f>AVERAGE(F79:F83)</f>
        <v>7.1059999999999999</v>
      </c>
      <c r="G84" s="29">
        <f>AVERAGE(G79:G83)</f>
        <v>7173.82</v>
      </c>
      <c r="H84" s="30">
        <f>AVERAGE(H79:H83)</f>
        <v>2.9982895013499822</v>
      </c>
    </row>
    <row r="85" spans="1:8">
      <c r="A85" s="94"/>
      <c r="B85" s="85">
        <v>10</v>
      </c>
      <c r="C85" s="86">
        <v>3</v>
      </c>
      <c r="D85" s="15">
        <v>24.47</v>
      </c>
      <c r="E85" s="15">
        <v>32536.11</v>
      </c>
      <c r="F85" s="15">
        <v>24.12</v>
      </c>
      <c r="G85" s="15">
        <v>33089.919999999998</v>
      </c>
      <c r="H85" s="23">
        <f t="shared" si="3"/>
        <v>1.702139561244407</v>
      </c>
    </row>
    <row r="86" spans="1:8">
      <c r="A86" s="94"/>
      <c r="B86" s="85"/>
      <c r="C86" s="87"/>
      <c r="D86" s="15">
        <v>20.2</v>
      </c>
      <c r="E86" s="15">
        <v>25424.55</v>
      </c>
      <c r="F86" s="15">
        <v>19.07</v>
      </c>
      <c r="G86" s="15">
        <v>26641.77</v>
      </c>
      <c r="H86" s="23">
        <f t="shared" si="3"/>
        <v>4.7875773612512367</v>
      </c>
    </row>
    <row r="87" spans="1:8">
      <c r="A87" s="94"/>
      <c r="B87" s="85"/>
      <c r="C87" s="87"/>
      <c r="D87" s="15">
        <v>21.59</v>
      </c>
      <c r="E87" s="15">
        <v>28942.86</v>
      </c>
      <c r="F87" s="15">
        <v>20.88</v>
      </c>
      <c r="G87" s="15">
        <v>29077.54</v>
      </c>
      <c r="H87" s="23">
        <f t="shared" si="3"/>
        <v>0.46533065495255233</v>
      </c>
    </row>
    <row r="88" spans="1:8">
      <c r="A88" s="94"/>
      <c r="B88" s="85"/>
      <c r="C88" s="87"/>
      <c r="D88" s="15">
        <v>36.44</v>
      </c>
      <c r="E88" s="15">
        <v>48175.44</v>
      </c>
      <c r="F88" s="15">
        <v>33.4</v>
      </c>
      <c r="G88" s="15">
        <v>51171.08</v>
      </c>
      <c r="H88" s="23">
        <f t="shared" si="3"/>
        <v>6.2181891851947775</v>
      </c>
    </row>
    <row r="89" spans="1:8">
      <c r="A89" s="94"/>
      <c r="B89" s="85"/>
      <c r="C89" s="88"/>
      <c r="D89" s="20">
        <v>25.19</v>
      </c>
      <c r="E89" s="20">
        <v>36646.9</v>
      </c>
      <c r="F89" s="20">
        <v>25.19</v>
      </c>
      <c r="G89" s="20">
        <v>37270.089999999997</v>
      </c>
      <c r="H89" s="23">
        <f t="shared" si="3"/>
        <v>1.7005258289241247</v>
      </c>
    </row>
    <row r="90" spans="1:8">
      <c r="A90" s="94"/>
      <c r="B90" s="85"/>
      <c r="C90" s="60"/>
      <c r="D90" s="29">
        <f>AVERAGE(D85:D89)</f>
        <v>25.577999999999999</v>
      </c>
      <c r="E90" s="29">
        <f>AVERAGE(E85:E89)</f>
        <v>34345.172000000006</v>
      </c>
      <c r="F90" s="29">
        <f>AVERAGE(F85:F89)</f>
        <v>24.532</v>
      </c>
      <c r="G90" s="29">
        <f>AVERAGE(G85:G89)</f>
        <v>35450.080000000002</v>
      </c>
      <c r="H90" s="30">
        <f>AVERAGE(H85:H89)</f>
        <v>2.9747525183134198</v>
      </c>
    </row>
    <row r="91" spans="1:8">
      <c r="A91" s="94"/>
      <c r="B91" s="85"/>
      <c r="C91" s="86">
        <v>4</v>
      </c>
      <c r="D91" s="16">
        <v>9.0299999999999994</v>
      </c>
      <c r="E91" s="16">
        <v>13187.24</v>
      </c>
      <c r="F91" s="16">
        <v>8.91</v>
      </c>
      <c r="G91" s="16">
        <v>13926.01</v>
      </c>
      <c r="H91" s="25">
        <f t="shared" si="3"/>
        <v>5.6021578434911357</v>
      </c>
    </row>
    <row r="92" spans="1:8">
      <c r="A92" s="94"/>
      <c r="B92" s="85"/>
      <c r="C92" s="87"/>
      <c r="D92" s="16">
        <v>11.81</v>
      </c>
      <c r="E92" s="16">
        <v>19578.7</v>
      </c>
      <c r="F92" s="16">
        <v>11.66</v>
      </c>
      <c r="G92" s="16">
        <v>19807.900000000001</v>
      </c>
      <c r="H92" s="25">
        <f t="shared" si="3"/>
        <v>1.1706599518864924</v>
      </c>
    </row>
    <row r="93" spans="1:8">
      <c r="A93" s="94"/>
      <c r="B93" s="85"/>
      <c r="C93" s="87"/>
      <c r="D93" s="20">
        <v>15.8</v>
      </c>
      <c r="E93" s="20">
        <v>28538.06</v>
      </c>
      <c r="F93" s="20">
        <v>15.8</v>
      </c>
      <c r="G93" s="20">
        <v>28917.79</v>
      </c>
      <c r="H93" s="25">
        <f t="shared" si="3"/>
        <v>1.3306090182724388</v>
      </c>
    </row>
    <row r="94" spans="1:8">
      <c r="A94" s="94"/>
      <c r="B94" s="85"/>
      <c r="C94" s="87"/>
      <c r="D94" s="16">
        <v>9.51</v>
      </c>
      <c r="E94" s="16">
        <v>14947.64</v>
      </c>
      <c r="F94" s="16">
        <v>9.51</v>
      </c>
      <c r="G94" s="16">
        <v>14947.64</v>
      </c>
      <c r="H94" s="26">
        <f t="shared" si="3"/>
        <v>0</v>
      </c>
    </row>
    <row r="95" spans="1:8">
      <c r="A95" s="94"/>
      <c r="B95" s="85"/>
      <c r="C95" s="88"/>
      <c r="D95" s="16">
        <v>12.2</v>
      </c>
      <c r="E95" s="16">
        <v>17866.099999999999</v>
      </c>
      <c r="F95" s="16">
        <v>11.36</v>
      </c>
      <c r="G95" s="16">
        <v>18922.64</v>
      </c>
      <c r="H95" s="25">
        <f t="shared" si="3"/>
        <v>5.913657709293024</v>
      </c>
    </row>
    <row r="96" spans="1:8">
      <c r="A96" s="94"/>
      <c r="B96" s="85"/>
      <c r="C96" s="61"/>
      <c r="D96" s="62">
        <f>AVERAGE(D91:D95)</f>
        <v>11.669999999999998</v>
      </c>
      <c r="E96" s="62">
        <f>AVERAGE(E91:E95)</f>
        <v>18823.547999999999</v>
      </c>
      <c r="F96" s="62">
        <f>AVERAGE(F91:F95)</f>
        <v>11.448</v>
      </c>
      <c r="G96" s="62">
        <f>AVERAGE(G91:G95)</f>
        <v>19304.396000000001</v>
      </c>
      <c r="H96" s="30">
        <f>AVERAGE(H91:H95)</f>
        <v>2.8034169045886181</v>
      </c>
    </row>
  </sheetData>
  <mergeCells count="46">
    <mergeCell ref="C73:C77"/>
    <mergeCell ref="C79:C83"/>
    <mergeCell ref="C85:C89"/>
    <mergeCell ref="C91:C95"/>
    <mergeCell ref="A73:A96"/>
    <mergeCell ref="B85:B96"/>
    <mergeCell ref="B73:B84"/>
    <mergeCell ref="A47:C47"/>
    <mergeCell ref="D47:E47"/>
    <mergeCell ref="F47:G47"/>
    <mergeCell ref="H47:H48"/>
    <mergeCell ref="C49:C53"/>
    <mergeCell ref="A49:A72"/>
    <mergeCell ref="C55:C59"/>
    <mergeCell ref="C61:C65"/>
    <mergeCell ref="C67:C71"/>
    <mergeCell ref="B49:B60"/>
    <mergeCell ref="B61:B72"/>
    <mergeCell ref="B24:B33"/>
    <mergeCell ref="C24:C28"/>
    <mergeCell ref="A1:C1"/>
    <mergeCell ref="D1:E1"/>
    <mergeCell ref="A3:A22"/>
    <mergeCell ref="A24:A43"/>
    <mergeCell ref="C29:C33"/>
    <mergeCell ref="B34:B43"/>
    <mergeCell ref="C34:C38"/>
    <mergeCell ref="C39:C43"/>
    <mergeCell ref="B3:B12"/>
    <mergeCell ref="C3:C7"/>
    <mergeCell ref="C8:C12"/>
    <mergeCell ref="B13:B22"/>
    <mergeCell ref="L24:L33"/>
    <mergeCell ref="L34:L43"/>
    <mergeCell ref="K24:K43"/>
    <mergeCell ref="F1:G1"/>
    <mergeCell ref="C18:C22"/>
    <mergeCell ref="C13:C17"/>
    <mergeCell ref="H1:H2"/>
    <mergeCell ref="O1:P1"/>
    <mergeCell ref="Q1:Q2"/>
    <mergeCell ref="L3:L12"/>
    <mergeCell ref="L13:L22"/>
    <mergeCell ref="K3:K22"/>
    <mergeCell ref="K1:L1"/>
    <mergeCell ref="M1:N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DC7F-F60D-994F-9756-03E0DAA1B2DD}">
  <dimension ref="A1:T45"/>
  <sheetViews>
    <sheetView zoomScale="111" workbookViewId="0">
      <selection activeCell="J13" sqref="J13"/>
    </sheetView>
  </sheetViews>
  <sheetFormatPr baseColWidth="10" defaultRowHeight="16"/>
  <cols>
    <col min="2" max="2" width="19.83203125" style="27" customWidth="1"/>
    <col min="3" max="4" width="16.83203125" customWidth="1"/>
    <col min="5" max="5" width="16.33203125" customWidth="1"/>
    <col min="6" max="6" width="17.5" customWidth="1"/>
  </cols>
  <sheetData>
    <row r="1" spans="1:20" ht="27" customHeight="1">
      <c r="A1" s="13" t="s">
        <v>44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18">
      <c r="A2" s="85">
        <v>600</v>
      </c>
      <c r="B2" s="14" t="s">
        <v>24</v>
      </c>
      <c r="C2" s="23">
        <v>13820.41</v>
      </c>
      <c r="D2" s="23">
        <v>11056.33</v>
      </c>
      <c r="E2" s="23">
        <v>9213.61</v>
      </c>
      <c r="F2" s="23">
        <v>7897.38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ht="18">
      <c r="A3" s="85"/>
      <c r="B3" s="14" t="s">
        <v>25</v>
      </c>
      <c r="C3" s="23">
        <v>20032.25</v>
      </c>
      <c r="D3" s="23">
        <v>16025.8</v>
      </c>
      <c r="E3" s="23">
        <v>13354.83</v>
      </c>
      <c r="F3" s="23">
        <v>11447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ht="18">
      <c r="A4" s="85"/>
      <c r="B4" s="14" t="s">
        <v>26</v>
      </c>
      <c r="C4" s="23">
        <v>27626.45</v>
      </c>
      <c r="D4" s="23">
        <v>22101.16</v>
      </c>
      <c r="E4" s="23">
        <v>18417.63</v>
      </c>
      <c r="F4" s="23">
        <v>15786.54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ht="18">
      <c r="A5" s="85"/>
      <c r="B5" s="14" t="s">
        <v>27</v>
      </c>
      <c r="C5" s="23">
        <v>23423.69</v>
      </c>
      <c r="D5" s="23">
        <v>18738.95</v>
      </c>
      <c r="E5" s="23">
        <v>15615.79</v>
      </c>
      <c r="F5" s="23">
        <v>13384.96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ht="18">
      <c r="A6" s="85"/>
      <c r="B6" s="14" t="s">
        <v>28</v>
      </c>
      <c r="C6" s="23">
        <v>23529.74</v>
      </c>
      <c r="D6" s="23">
        <v>18823.79</v>
      </c>
      <c r="E6" s="23">
        <v>15686.49</v>
      </c>
      <c r="F6" s="23">
        <v>13445.57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0" ht="18">
      <c r="A7" s="85"/>
      <c r="B7" s="14" t="s">
        <v>19</v>
      </c>
      <c r="C7" s="23">
        <v>17802.78</v>
      </c>
      <c r="D7" s="23">
        <v>14242.22</v>
      </c>
      <c r="E7" s="23">
        <v>11868.52</v>
      </c>
      <c r="F7" s="23">
        <v>10173.01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spans="1:20" ht="18">
      <c r="A8" s="85"/>
      <c r="B8" s="14" t="s">
        <v>20</v>
      </c>
      <c r="C8" s="23">
        <v>26431.24</v>
      </c>
      <c r="D8" s="23">
        <v>21144.99</v>
      </c>
      <c r="E8" s="23">
        <v>17620.830000000002</v>
      </c>
      <c r="F8" s="23">
        <v>15103.57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ht="18">
      <c r="A9" s="85"/>
      <c r="B9" s="14" t="s">
        <v>21</v>
      </c>
      <c r="C9" s="23">
        <v>38526.370000000003</v>
      </c>
      <c r="D9" s="23">
        <v>30821.1</v>
      </c>
      <c r="E9" s="23">
        <v>25684.25</v>
      </c>
      <c r="F9" s="23">
        <v>22015.07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ht="18">
      <c r="A10" s="85"/>
      <c r="B10" s="14" t="s">
        <v>22</v>
      </c>
      <c r="C10" s="23">
        <v>20179.310000000001</v>
      </c>
      <c r="D10" s="23">
        <v>16143.45</v>
      </c>
      <c r="E10" s="23">
        <v>13452.88</v>
      </c>
      <c r="F10" s="23">
        <v>11531.04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1:20" ht="18">
      <c r="A11" s="85"/>
      <c r="B11" s="14" t="s">
        <v>23</v>
      </c>
      <c r="C11" s="23">
        <v>24119.23</v>
      </c>
      <c r="D11" s="23">
        <v>19295.39</v>
      </c>
      <c r="E11" s="23">
        <v>16079.49</v>
      </c>
      <c r="F11" s="23">
        <v>13782.42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spans="1:20" ht="18">
      <c r="A12" s="28" t="s">
        <v>18</v>
      </c>
      <c r="B12" s="28"/>
      <c r="C12" s="30">
        <f>AVERAGE(C2:C11)</f>
        <v>23549.147000000001</v>
      </c>
      <c r="D12" s="30">
        <f t="shared" ref="D12:F12" si="0">AVERAGE(D2:D11)</f>
        <v>18839.317999999999</v>
      </c>
      <c r="E12" s="30">
        <f t="shared" si="0"/>
        <v>15699.432000000001</v>
      </c>
      <c r="F12" s="30">
        <f t="shared" si="0"/>
        <v>13456.656000000003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pans="1:20" ht="18">
      <c r="A13" s="85">
        <v>720</v>
      </c>
      <c r="B13" s="14" t="s">
        <v>24</v>
      </c>
      <c r="C13" s="23">
        <v>10588.5</v>
      </c>
      <c r="D13" s="23">
        <v>8470.7999999999993</v>
      </c>
      <c r="E13" s="23">
        <v>7059</v>
      </c>
      <c r="F13" s="23">
        <v>6050.57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spans="1:20" ht="18">
      <c r="A14" s="85"/>
      <c r="B14" s="14" t="s">
        <v>25</v>
      </c>
      <c r="C14" s="23">
        <v>14394.51</v>
      </c>
      <c r="D14" s="23">
        <v>11515.61</v>
      </c>
      <c r="E14" s="23">
        <v>9596.34</v>
      </c>
      <c r="F14" s="23">
        <v>8225.43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0" ht="18">
      <c r="A15" s="85"/>
      <c r="B15" s="14" t="s">
        <v>26</v>
      </c>
      <c r="C15" s="23">
        <v>18178.12</v>
      </c>
      <c r="D15" s="23">
        <v>14542.5</v>
      </c>
      <c r="E15" s="23">
        <v>12118.75</v>
      </c>
      <c r="F15" s="23">
        <v>10387.5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spans="1:20" ht="18">
      <c r="A16" s="85"/>
      <c r="B16" s="14" t="s">
        <v>27</v>
      </c>
      <c r="C16" s="23">
        <v>15765.89</v>
      </c>
      <c r="D16" s="23">
        <v>12612.71</v>
      </c>
      <c r="E16" s="23">
        <v>10510.6</v>
      </c>
      <c r="F16" s="23">
        <v>9009.08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spans="1:20" ht="18">
      <c r="A17" s="85"/>
      <c r="B17" s="14" t="s">
        <v>28</v>
      </c>
      <c r="C17" s="23">
        <v>16161.03</v>
      </c>
      <c r="D17" s="23">
        <v>12928.82</v>
      </c>
      <c r="E17" s="23">
        <v>10774.02</v>
      </c>
      <c r="F17" s="23">
        <v>9234.8700000000008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spans="1:20" ht="18">
      <c r="A18" s="85"/>
      <c r="B18" s="14" t="s">
        <v>19</v>
      </c>
      <c r="C18" s="23">
        <v>13806.88</v>
      </c>
      <c r="D18" s="23">
        <v>11045.5</v>
      </c>
      <c r="E18" s="23">
        <v>9204.59</v>
      </c>
      <c r="F18" s="23">
        <v>7889.65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spans="1:20" ht="18">
      <c r="A19" s="85"/>
      <c r="B19" s="14" t="s">
        <v>20</v>
      </c>
      <c r="C19" s="23">
        <v>18842.25</v>
      </c>
      <c r="D19" s="23">
        <v>15073.8</v>
      </c>
      <c r="E19" s="23">
        <v>12561.5</v>
      </c>
      <c r="F19" s="23">
        <v>10767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spans="1:20" ht="18">
      <c r="A20" s="85"/>
      <c r="B20" s="14" t="s">
        <v>21</v>
      </c>
      <c r="C20" s="23">
        <v>25101.58</v>
      </c>
      <c r="D20" s="23">
        <v>20081.27</v>
      </c>
      <c r="E20" s="23">
        <v>16734.39</v>
      </c>
      <c r="F20" s="23">
        <v>14343.76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1:20" ht="18">
      <c r="A21" s="85"/>
      <c r="B21" s="14" t="s">
        <v>22</v>
      </c>
      <c r="C21" s="23">
        <v>15449.15</v>
      </c>
      <c r="D21" s="23">
        <v>12359.32</v>
      </c>
      <c r="E21" s="23">
        <v>10299.44</v>
      </c>
      <c r="F21" s="23">
        <v>8828.09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1:20" ht="18">
      <c r="A22" s="85"/>
      <c r="B22" s="14" t="s">
        <v>23</v>
      </c>
      <c r="C22" s="23">
        <v>17113.150000000001</v>
      </c>
      <c r="D22" s="23">
        <v>13690.52</v>
      </c>
      <c r="E22" s="23">
        <v>11408.77</v>
      </c>
      <c r="F22" s="23">
        <v>9778.94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spans="1:20" ht="18">
      <c r="A23" s="28" t="s">
        <v>17</v>
      </c>
      <c r="B23" s="28"/>
      <c r="C23" s="30">
        <f>AVERAGE(C13:C22)</f>
        <v>16540.106</v>
      </c>
      <c r="D23" s="30">
        <f t="shared" ref="D23:F23" si="1">AVERAGE(D13:D22)</f>
        <v>13232.085000000001</v>
      </c>
      <c r="E23" s="30">
        <f t="shared" si="1"/>
        <v>11026.740000000002</v>
      </c>
      <c r="F23" s="30">
        <f t="shared" si="1"/>
        <v>9451.4889999999996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spans="1:20" ht="18">
      <c r="A24" s="85">
        <v>840</v>
      </c>
      <c r="B24" s="14" t="s">
        <v>24</v>
      </c>
      <c r="C24" s="23">
        <v>9036.01</v>
      </c>
      <c r="D24" s="23">
        <v>7228.81</v>
      </c>
      <c r="E24" s="23">
        <v>6024.01</v>
      </c>
      <c r="F24" s="23">
        <v>5163.4399999999996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1:20" ht="18">
      <c r="A25" s="85"/>
      <c r="B25" s="14" t="s">
        <v>25</v>
      </c>
      <c r="C25" s="23">
        <v>11918.03</v>
      </c>
      <c r="D25" s="23">
        <v>9534.43</v>
      </c>
      <c r="E25" s="23">
        <v>7945.36</v>
      </c>
      <c r="F25" s="23">
        <v>6810.31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spans="1:20" ht="18">
      <c r="A26" s="85"/>
      <c r="B26" s="14" t="s">
        <v>26</v>
      </c>
      <c r="C26" s="23">
        <v>14334.82</v>
      </c>
      <c r="D26" s="23">
        <v>11467.85</v>
      </c>
      <c r="E26" s="23">
        <v>9556.5400000000009</v>
      </c>
      <c r="F26" s="23">
        <v>8191.32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spans="1:20" ht="18">
      <c r="A27" s="85"/>
      <c r="B27" s="14" t="s">
        <v>27</v>
      </c>
      <c r="C27" s="23">
        <v>12636.1</v>
      </c>
      <c r="D27" s="23">
        <v>9574.84</v>
      </c>
      <c r="E27" s="23">
        <v>8424.06</v>
      </c>
      <c r="F27" s="23">
        <v>7220.63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0" ht="18">
      <c r="A28" s="85"/>
      <c r="B28" s="14" t="s">
        <v>28</v>
      </c>
      <c r="C28" s="23">
        <v>13063.3</v>
      </c>
      <c r="D28" s="23">
        <v>10450.64</v>
      </c>
      <c r="E28" s="23">
        <v>8708.8700000000008</v>
      </c>
      <c r="F28" s="23">
        <v>7464.74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spans="1:20" ht="18">
      <c r="A29" s="85"/>
      <c r="B29" s="14" t="s">
        <v>19</v>
      </c>
      <c r="C29" s="23">
        <v>11870.13</v>
      </c>
      <c r="D29" s="23">
        <v>9496.11</v>
      </c>
      <c r="E29" s="23">
        <v>7913.42</v>
      </c>
      <c r="F29" s="23">
        <v>6782.93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pans="1:20" ht="18">
      <c r="A30" s="85"/>
      <c r="B30" s="14" t="s">
        <v>20</v>
      </c>
      <c r="C30" s="23">
        <v>15437.34</v>
      </c>
      <c r="D30" s="23">
        <v>12349.87</v>
      </c>
      <c r="E30" s="23">
        <v>10291.56</v>
      </c>
      <c r="F30" s="23">
        <v>8821.34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1:20" ht="18">
      <c r="A31" s="85"/>
      <c r="B31" s="14" t="s">
        <v>21</v>
      </c>
      <c r="C31" s="23">
        <v>19911.7</v>
      </c>
      <c r="D31" s="23">
        <v>15929.36</v>
      </c>
      <c r="E31" s="23">
        <v>13274.46</v>
      </c>
      <c r="F31" s="23">
        <v>11378.11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1:20" ht="18">
      <c r="A32" s="85"/>
      <c r="B32" s="14" t="s">
        <v>22</v>
      </c>
      <c r="C32" s="23">
        <v>13206.67</v>
      </c>
      <c r="D32" s="23">
        <v>10565.34</v>
      </c>
      <c r="E32" s="23">
        <v>8804.4500000000007</v>
      </c>
      <c r="F32" s="23">
        <v>7546.67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spans="1:20" ht="18">
      <c r="A33" s="85"/>
      <c r="B33" s="14" t="s">
        <v>23</v>
      </c>
      <c r="C33" s="23">
        <v>14080.28</v>
      </c>
      <c r="D33" s="23">
        <v>11264.23</v>
      </c>
      <c r="E33" s="23">
        <v>9386.86</v>
      </c>
      <c r="F33" s="23">
        <v>8045.88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pans="1:20" ht="18">
      <c r="A34" s="28" t="s">
        <v>17</v>
      </c>
      <c r="B34" s="28"/>
      <c r="C34" s="30">
        <f>AVERAGE(C24:C33)</f>
        <v>13549.438</v>
      </c>
      <c r="D34" s="30">
        <f t="shared" ref="D34:F34" si="2">AVERAGE(D24:D33)</f>
        <v>10786.147999999999</v>
      </c>
      <c r="E34" s="30">
        <f t="shared" si="2"/>
        <v>9032.9589999999989</v>
      </c>
      <c r="F34" s="30">
        <f t="shared" si="2"/>
        <v>7742.5370000000012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spans="1:20" ht="18">
      <c r="A35" s="85">
        <v>960</v>
      </c>
      <c r="B35" s="14" t="s">
        <v>24</v>
      </c>
      <c r="C35" s="23">
        <v>8127.43</v>
      </c>
      <c r="D35" s="23">
        <v>6501.94</v>
      </c>
      <c r="E35" s="23">
        <v>5418.29</v>
      </c>
      <c r="F35" s="23">
        <v>4644.24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1:20" ht="18">
      <c r="A36" s="85"/>
      <c r="B36" s="14" t="s">
        <v>25</v>
      </c>
      <c r="C36" s="23">
        <v>10458.44</v>
      </c>
      <c r="D36" s="23">
        <v>8366.76</v>
      </c>
      <c r="E36" s="23">
        <v>6972.3</v>
      </c>
      <c r="F36" s="23">
        <v>5976.25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spans="1:20" ht="18">
      <c r="A37" s="85"/>
      <c r="B37" s="14" t="s">
        <v>26</v>
      </c>
      <c r="C37" s="23">
        <v>12286.27</v>
      </c>
      <c r="D37" s="23">
        <v>9829.01</v>
      </c>
      <c r="E37" s="23">
        <v>8190.84</v>
      </c>
      <c r="F37" s="23">
        <v>7020.72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spans="1:20" ht="18">
      <c r="A38" s="85"/>
      <c r="B38" s="14" t="s">
        <v>27</v>
      </c>
      <c r="C38" s="23">
        <v>10943.84</v>
      </c>
      <c r="D38" s="23">
        <v>8755.07</v>
      </c>
      <c r="E38" s="23">
        <v>7295.89</v>
      </c>
      <c r="F38" s="23">
        <v>6253.62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spans="1:20" ht="18">
      <c r="A39" s="85"/>
      <c r="B39" s="14" t="s">
        <v>28</v>
      </c>
      <c r="C39" s="23">
        <v>11357.97</v>
      </c>
      <c r="D39" s="23">
        <v>9086.3700000000008</v>
      </c>
      <c r="E39" s="23">
        <v>7571.98</v>
      </c>
      <c r="F39" s="23">
        <v>6490.27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spans="1:20" ht="18">
      <c r="A40" s="85"/>
      <c r="B40" s="14" t="s">
        <v>19</v>
      </c>
      <c r="C40" s="23">
        <v>10726.78</v>
      </c>
      <c r="D40" s="23">
        <v>8581.42</v>
      </c>
      <c r="E40" s="23">
        <v>7151.19</v>
      </c>
      <c r="F40" s="23">
        <v>6129.59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spans="1:20" ht="18">
      <c r="A41" s="85"/>
      <c r="B41" s="14" t="s">
        <v>20</v>
      </c>
      <c r="C41" s="23">
        <v>13586.25</v>
      </c>
      <c r="D41" s="23">
        <v>10869</v>
      </c>
      <c r="E41" s="23">
        <v>9057.5</v>
      </c>
      <c r="F41" s="23">
        <v>7763.57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spans="1:20" ht="18">
      <c r="A42" s="85"/>
      <c r="B42" s="14" t="s">
        <v>21</v>
      </c>
      <c r="C42" s="23">
        <v>17058.84</v>
      </c>
      <c r="D42" s="23">
        <v>13647.07</v>
      </c>
      <c r="E42" s="23">
        <v>11372.56</v>
      </c>
      <c r="F42" s="23">
        <v>9747.91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spans="1:20" ht="18">
      <c r="A43" s="85"/>
      <c r="B43" s="14" t="s">
        <v>22</v>
      </c>
      <c r="C43" s="23">
        <v>11897.34</v>
      </c>
      <c r="D43" s="23">
        <v>9517.8700000000008</v>
      </c>
      <c r="E43" s="23">
        <v>7931.56</v>
      </c>
      <c r="F43" s="23">
        <v>6798.48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spans="1:20" ht="18">
      <c r="A44" s="85"/>
      <c r="B44" s="14" t="s">
        <v>23</v>
      </c>
      <c r="C44" s="23">
        <v>12339.36</v>
      </c>
      <c r="D44" s="23">
        <v>9871.49</v>
      </c>
      <c r="E44" s="23">
        <v>8226.24</v>
      </c>
      <c r="F44" s="23">
        <v>7051.06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spans="1:20" ht="18">
      <c r="A45" s="28" t="s">
        <v>17</v>
      </c>
      <c r="B45" s="28"/>
      <c r="C45" s="30">
        <f>AVERAGE(C35:C44)</f>
        <v>11878.252</v>
      </c>
      <c r="D45" s="30">
        <f t="shared" ref="D45:F45" si="3">AVERAGE(D35:D44)</f>
        <v>9502.6</v>
      </c>
      <c r="E45" s="30">
        <f t="shared" si="3"/>
        <v>7918.8350000000009</v>
      </c>
      <c r="F45" s="30">
        <f t="shared" si="3"/>
        <v>6787.570999999999</v>
      </c>
    </row>
  </sheetData>
  <mergeCells count="4">
    <mergeCell ref="A2:A11"/>
    <mergeCell ref="A13:A22"/>
    <mergeCell ref="A24:A33"/>
    <mergeCell ref="A35:A4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C158-BB17-5F48-94E2-C090245AD126}">
  <dimension ref="A1:R184"/>
  <sheetViews>
    <sheetView topLeftCell="A75" zoomScale="111" zoomScaleNormal="125" workbookViewId="0">
      <selection activeCell="L159" sqref="L159"/>
    </sheetView>
  </sheetViews>
  <sheetFormatPr baseColWidth="10" defaultRowHeight="16"/>
  <cols>
    <col min="3" max="3" width="14.6640625" customWidth="1"/>
    <col min="4" max="4" width="15.6640625" customWidth="1"/>
    <col min="5" max="6" width="13.6640625" customWidth="1"/>
    <col min="7" max="7" width="13.5" customWidth="1"/>
    <col min="8" max="8" width="14.1640625" customWidth="1"/>
    <col min="13" max="13" width="13.33203125" customWidth="1"/>
    <col min="14" max="14" width="15.1640625" customWidth="1"/>
    <col min="15" max="16" width="14.33203125" customWidth="1"/>
    <col min="17" max="17" width="14.1640625" customWidth="1"/>
    <col min="18" max="18" width="15.1640625" customWidth="1"/>
  </cols>
  <sheetData>
    <row r="1" spans="1:18" ht="26" customHeight="1">
      <c r="A1" s="123" t="s">
        <v>93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18" ht="24" customHeight="1">
      <c r="A2" s="122" t="s">
        <v>94</v>
      </c>
      <c r="B2" s="122"/>
      <c r="C2" s="122"/>
      <c r="D2" s="122"/>
      <c r="E2" s="122"/>
      <c r="F2" s="122"/>
      <c r="G2" s="122"/>
      <c r="H2" s="122"/>
      <c r="K2" s="122" t="s">
        <v>95</v>
      </c>
      <c r="L2" s="122"/>
      <c r="M2" s="122"/>
      <c r="N2" s="122"/>
      <c r="O2" s="122"/>
      <c r="P2" s="122"/>
      <c r="Q2" s="122"/>
      <c r="R2" s="122"/>
    </row>
    <row r="3" spans="1:18" ht="27" customHeight="1">
      <c r="A3" s="13" t="s">
        <v>44</v>
      </c>
      <c r="B3" s="13" t="s">
        <v>7</v>
      </c>
      <c r="C3" s="13" t="s">
        <v>11</v>
      </c>
      <c r="D3" s="13" t="s">
        <v>52</v>
      </c>
      <c r="E3" s="13" t="s">
        <v>53</v>
      </c>
      <c r="F3" s="13" t="s">
        <v>54</v>
      </c>
      <c r="G3" s="13" t="s">
        <v>55</v>
      </c>
      <c r="H3" s="13" t="s">
        <v>56</v>
      </c>
      <c r="K3" s="13" t="s">
        <v>44</v>
      </c>
      <c r="L3" s="13" t="s">
        <v>7</v>
      </c>
      <c r="M3" s="13" t="s">
        <v>11</v>
      </c>
      <c r="N3" s="13" t="s">
        <v>52</v>
      </c>
      <c r="O3" s="13" t="s">
        <v>53</v>
      </c>
      <c r="P3" s="13" t="s">
        <v>54</v>
      </c>
      <c r="Q3" s="13" t="s">
        <v>55</v>
      </c>
      <c r="R3" s="13" t="s">
        <v>56</v>
      </c>
    </row>
    <row r="4" spans="1:18" ht="18">
      <c r="A4" s="86">
        <v>600</v>
      </c>
      <c r="B4" s="86" t="s">
        <v>8</v>
      </c>
      <c r="C4" s="86">
        <v>3</v>
      </c>
      <c r="D4" s="15">
        <v>39690.75</v>
      </c>
      <c r="E4" s="15">
        <v>31752.6</v>
      </c>
      <c r="F4" s="67">
        <v>29400.55</v>
      </c>
      <c r="G4" s="15">
        <v>26460.5</v>
      </c>
      <c r="H4" s="15">
        <v>22680.43</v>
      </c>
      <c r="K4" s="86">
        <v>600</v>
      </c>
      <c r="L4" s="86" t="s">
        <v>8</v>
      </c>
      <c r="M4" s="86">
        <v>3</v>
      </c>
      <c r="N4" s="15">
        <v>39690.75</v>
      </c>
      <c r="O4" s="15">
        <v>31752.6</v>
      </c>
      <c r="P4" s="67">
        <v>29400.55</v>
      </c>
      <c r="Q4" s="15">
        <v>26460.5</v>
      </c>
      <c r="R4" s="15">
        <v>22680.43</v>
      </c>
    </row>
    <row r="5" spans="1:18" ht="18">
      <c r="A5" s="87"/>
      <c r="B5" s="87"/>
      <c r="C5" s="87"/>
      <c r="D5" s="15">
        <v>36246.910000000003</v>
      </c>
      <c r="E5" s="15">
        <v>28997.53</v>
      </c>
      <c r="F5" s="67">
        <v>26849.56</v>
      </c>
      <c r="G5" s="15">
        <v>24164.61</v>
      </c>
      <c r="H5" s="15">
        <v>20712.52</v>
      </c>
      <c r="K5" s="87"/>
      <c r="L5" s="87"/>
      <c r="M5" s="87"/>
      <c r="N5" s="15">
        <v>36246.910000000003</v>
      </c>
      <c r="O5" s="15">
        <v>28997.53</v>
      </c>
      <c r="P5" s="67">
        <v>26849.56</v>
      </c>
      <c r="Q5" s="15">
        <v>24164.61</v>
      </c>
      <c r="R5" s="15">
        <v>20712.52</v>
      </c>
    </row>
    <row r="6" spans="1:18" ht="18">
      <c r="A6" s="87"/>
      <c r="B6" s="87"/>
      <c r="C6" s="87"/>
      <c r="D6" s="15">
        <v>48507.08</v>
      </c>
      <c r="E6" s="15">
        <v>38805.660000000003</v>
      </c>
      <c r="F6" s="67">
        <v>35931.17</v>
      </c>
      <c r="G6" s="15">
        <v>32338.05</v>
      </c>
      <c r="H6" s="15">
        <v>27718.33</v>
      </c>
      <c r="K6" s="87"/>
      <c r="L6" s="87"/>
      <c r="M6" s="87"/>
      <c r="N6" s="15">
        <v>48507.08</v>
      </c>
      <c r="O6" s="15">
        <v>38805.660000000003</v>
      </c>
      <c r="P6" s="67">
        <v>35931.17</v>
      </c>
      <c r="Q6" s="15">
        <v>32338.05</v>
      </c>
      <c r="R6" s="15">
        <v>27718.33</v>
      </c>
    </row>
    <row r="7" spans="1:18" ht="18">
      <c r="A7" s="87"/>
      <c r="B7" s="87"/>
      <c r="C7" s="87"/>
      <c r="D7" s="15">
        <v>61952.46</v>
      </c>
      <c r="E7" s="15">
        <v>49561.97</v>
      </c>
      <c r="F7" s="67">
        <v>45890.71</v>
      </c>
      <c r="G7" s="15">
        <v>41301.64</v>
      </c>
      <c r="H7" s="15">
        <v>35401.4</v>
      </c>
      <c r="K7" s="87"/>
      <c r="L7" s="87"/>
      <c r="M7" s="87"/>
      <c r="N7" s="15">
        <v>61952.46</v>
      </c>
      <c r="O7" s="15">
        <v>49561.97</v>
      </c>
      <c r="P7" s="67">
        <v>45890.71</v>
      </c>
      <c r="Q7" s="15">
        <v>41301.64</v>
      </c>
      <c r="R7" s="15">
        <v>35401.4</v>
      </c>
    </row>
    <row r="8" spans="1:18" ht="18">
      <c r="A8" s="87"/>
      <c r="B8" s="87"/>
      <c r="C8" s="88"/>
      <c r="D8" s="15">
        <v>33017.93</v>
      </c>
      <c r="E8" s="15">
        <v>26414.35</v>
      </c>
      <c r="F8" s="67">
        <v>24457.73</v>
      </c>
      <c r="G8" s="15">
        <v>22011.96</v>
      </c>
      <c r="H8" s="15">
        <v>18867.39</v>
      </c>
      <c r="K8" s="87"/>
      <c r="L8" s="87"/>
      <c r="M8" s="88"/>
      <c r="N8" s="15">
        <v>33017.93</v>
      </c>
      <c r="O8" s="15">
        <v>26414.35</v>
      </c>
      <c r="P8" s="67">
        <v>24457.73</v>
      </c>
      <c r="Q8" s="15">
        <v>22011.96</v>
      </c>
      <c r="R8" s="15">
        <v>18867.39</v>
      </c>
    </row>
    <row r="9" spans="1:18" ht="18">
      <c r="A9" s="87"/>
      <c r="B9" s="87"/>
      <c r="C9" s="86">
        <v>4</v>
      </c>
      <c r="D9" s="15">
        <v>13820.41</v>
      </c>
      <c r="E9" s="15">
        <v>11056.33</v>
      </c>
      <c r="F9" s="67">
        <v>10237.34</v>
      </c>
      <c r="G9" s="15">
        <v>9213.61</v>
      </c>
      <c r="H9" s="15">
        <v>7897.38</v>
      </c>
      <c r="K9" s="87"/>
      <c r="L9" s="87"/>
      <c r="M9" s="86">
        <v>4</v>
      </c>
      <c r="N9" s="15">
        <v>13820.41</v>
      </c>
      <c r="O9" s="15">
        <v>11056.33</v>
      </c>
      <c r="P9" s="67">
        <v>10237.34</v>
      </c>
      <c r="Q9" s="15">
        <v>9213.61</v>
      </c>
      <c r="R9" s="15">
        <v>7897.38</v>
      </c>
    </row>
    <row r="10" spans="1:18" ht="18">
      <c r="A10" s="87"/>
      <c r="B10" s="87"/>
      <c r="C10" s="87"/>
      <c r="D10" s="15">
        <v>20032.25</v>
      </c>
      <c r="E10" s="15">
        <v>16025.8</v>
      </c>
      <c r="F10" s="67">
        <v>14838.71</v>
      </c>
      <c r="G10" s="15">
        <v>13354.83</v>
      </c>
      <c r="H10" s="15">
        <v>11447</v>
      </c>
      <c r="K10" s="87"/>
      <c r="L10" s="87"/>
      <c r="M10" s="87"/>
      <c r="N10" s="15">
        <v>20032.25</v>
      </c>
      <c r="O10" s="15">
        <v>16025.8</v>
      </c>
      <c r="P10" s="67">
        <v>14838.71</v>
      </c>
      <c r="Q10" s="15">
        <v>13354.83</v>
      </c>
      <c r="R10" s="15">
        <v>11447</v>
      </c>
    </row>
    <row r="11" spans="1:18" ht="18">
      <c r="A11" s="87"/>
      <c r="B11" s="87"/>
      <c r="C11" s="87"/>
      <c r="D11" s="15">
        <v>27626.45</v>
      </c>
      <c r="E11" s="15">
        <v>22101.16</v>
      </c>
      <c r="F11" s="67">
        <v>20464.03</v>
      </c>
      <c r="G11" s="15">
        <v>18417.63</v>
      </c>
      <c r="H11" s="15">
        <v>15786.54</v>
      </c>
      <c r="K11" s="87"/>
      <c r="L11" s="87"/>
      <c r="M11" s="87"/>
      <c r="N11" s="15">
        <v>27626.45</v>
      </c>
      <c r="O11" s="15">
        <v>22101.16</v>
      </c>
      <c r="P11" s="67">
        <v>20464.03</v>
      </c>
      <c r="Q11" s="15">
        <v>18417.63</v>
      </c>
      <c r="R11" s="15">
        <v>15786.54</v>
      </c>
    </row>
    <row r="12" spans="1:18" ht="18">
      <c r="A12" s="87"/>
      <c r="B12" s="87"/>
      <c r="C12" s="87"/>
      <c r="D12" s="15">
        <v>23423.69</v>
      </c>
      <c r="E12" s="15">
        <v>18738.95</v>
      </c>
      <c r="F12" s="67">
        <v>17350.88</v>
      </c>
      <c r="G12" s="15">
        <v>15615.79</v>
      </c>
      <c r="H12" s="15">
        <v>13384.96</v>
      </c>
      <c r="K12" s="87"/>
      <c r="L12" s="87"/>
      <c r="M12" s="87"/>
      <c r="N12" s="15">
        <v>23423.69</v>
      </c>
      <c r="O12" s="15">
        <v>18738.95</v>
      </c>
      <c r="P12" s="67">
        <v>17350.88</v>
      </c>
      <c r="Q12" s="15">
        <v>15615.79</v>
      </c>
      <c r="R12" s="15">
        <v>13384.96</v>
      </c>
    </row>
    <row r="13" spans="1:18" ht="18">
      <c r="A13" s="87"/>
      <c r="B13" s="88"/>
      <c r="C13" s="88"/>
      <c r="D13" s="15">
        <v>23529.74</v>
      </c>
      <c r="E13" s="15">
        <v>18823.79</v>
      </c>
      <c r="F13" s="67">
        <v>17429.439999999999</v>
      </c>
      <c r="G13" s="15">
        <v>15686.49</v>
      </c>
      <c r="H13" s="15">
        <v>13445.57</v>
      </c>
      <c r="K13" s="87"/>
      <c r="L13" s="88"/>
      <c r="M13" s="88"/>
      <c r="N13" s="15">
        <v>23529.74</v>
      </c>
      <c r="O13" s="15">
        <v>18823.79</v>
      </c>
      <c r="P13" s="67">
        <v>17429.439999999999</v>
      </c>
      <c r="Q13" s="15">
        <v>15686.49</v>
      </c>
      <c r="R13" s="15">
        <v>13445.57</v>
      </c>
    </row>
    <row r="14" spans="1:18" ht="18">
      <c r="A14" s="87"/>
      <c r="B14" s="86" t="s">
        <v>9</v>
      </c>
      <c r="C14" s="86">
        <v>3</v>
      </c>
      <c r="D14" s="15">
        <v>43923.75</v>
      </c>
      <c r="E14" s="15">
        <v>35139</v>
      </c>
      <c r="F14" s="67">
        <v>32536.11</v>
      </c>
      <c r="G14" s="15">
        <v>29282.5</v>
      </c>
      <c r="H14" s="15">
        <v>25099.29</v>
      </c>
      <c r="K14" s="87"/>
      <c r="L14" s="86" t="s">
        <v>9</v>
      </c>
      <c r="M14" s="86">
        <v>3</v>
      </c>
      <c r="N14" s="15">
        <v>43923.75</v>
      </c>
      <c r="O14" s="15">
        <v>35139</v>
      </c>
      <c r="P14" s="67">
        <v>32536.11</v>
      </c>
      <c r="Q14" s="15">
        <v>29282.5</v>
      </c>
      <c r="R14" s="15">
        <v>25099.29</v>
      </c>
    </row>
    <row r="15" spans="1:18" ht="18">
      <c r="A15" s="87"/>
      <c r="B15" s="87"/>
      <c r="C15" s="87"/>
      <c r="D15" s="15">
        <v>34323.14</v>
      </c>
      <c r="E15" s="15">
        <v>27458.51</v>
      </c>
      <c r="F15" s="67">
        <v>25424.55</v>
      </c>
      <c r="G15" s="15">
        <v>22882.09</v>
      </c>
      <c r="H15" s="15">
        <v>19613.22</v>
      </c>
      <c r="K15" s="87"/>
      <c r="L15" s="87"/>
      <c r="M15" s="87"/>
      <c r="N15" s="15">
        <v>34323.14</v>
      </c>
      <c r="O15" s="15">
        <v>27458.51</v>
      </c>
      <c r="P15" s="67">
        <v>25424.55</v>
      </c>
      <c r="Q15" s="15">
        <v>22882.09</v>
      </c>
      <c r="R15" s="15">
        <v>19613.22</v>
      </c>
    </row>
    <row r="16" spans="1:18" ht="18">
      <c r="A16" s="87"/>
      <c r="B16" s="87"/>
      <c r="C16" s="87"/>
      <c r="D16" s="15">
        <v>39072.86</v>
      </c>
      <c r="E16" s="15">
        <v>31258.29</v>
      </c>
      <c r="F16" s="67">
        <v>28942.86</v>
      </c>
      <c r="G16" s="15">
        <v>26048.57</v>
      </c>
      <c r="H16" s="15">
        <v>22327.35</v>
      </c>
      <c r="K16" s="87"/>
      <c r="L16" s="87"/>
      <c r="M16" s="87"/>
      <c r="N16" s="15">
        <v>39072.86</v>
      </c>
      <c r="O16" s="15">
        <v>31258.29</v>
      </c>
      <c r="P16" s="67">
        <v>28942.86</v>
      </c>
      <c r="Q16" s="15">
        <v>26048.57</v>
      </c>
      <c r="R16" s="15">
        <v>22327.35</v>
      </c>
    </row>
    <row r="17" spans="1:18" ht="18">
      <c r="A17" s="87"/>
      <c r="B17" s="87"/>
      <c r="C17" s="87"/>
      <c r="D17" s="15">
        <v>65036.84</v>
      </c>
      <c r="E17" s="15">
        <v>52029.47</v>
      </c>
      <c r="F17" s="67">
        <v>48175.44</v>
      </c>
      <c r="G17" s="15">
        <v>43357.89</v>
      </c>
      <c r="H17" s="15">
        <v>37163.910000000003</v>
      </c>
      <c r="K17" s="87"/>
      <c r="L17" s="87"/>
      <c r="M17" s="87"/>
      <c r="N17" s="15">
        <v>65036.84</v>
      </c>
      <c r="O17" s="15">
        <v>52029.47</v>
      </c>
      <c r="P17" s="67">
        <v>48175.44</v>
      </c>
      <c r="Q17" s="15">
        <v>43357.89</v>
      </c>
      <c r="R17" s="15">
        <v>37163.910000000003</v>
      </c>
    </row>
    <row r="18" spans="1:18" ht="18">
      <c r="A18" s="87"/>
      <c r="B18" s="87"/>
      <c r="C18" s="88"/>
      <c r="D18" s="15">
        <v>49473.32</v>
      </c>
      <c r="E18" s="15">
        <v>39578.65</v>
      </c>
      <c r="F18" s="67">
        <v>36646.9</v>
      </c>
      <c r="G18" s="15">
        <v>32982.21</v>
      </c>
      <c r="H18" s="15">
        <v>28270.47</v>
      </c>
      <c r="K18" s="87"/>
      <c r="L18" s="87"/>
      <c r="M18" s="88"/>
      <c r="N18" s="15">
        <v>49473.32</v>
      </c>
      <c r="O18" s="15">
        <v>39578.65</v>
      </c>
      <c r="P18" s="67">
        <v>36646.9</v>
      </c>
      <c r="Q18" s="15">
        <v>32982.21</v>
      </c>
      <c r="R18" s="15">
        <v>28270.47</v>
      </c>
    </row>
    <row r="19" spans="1:18" ht="18">
      <c r="A19" s="87"/>
      <c r="B19" s="87"/>
      <c r="C19" s="86">
        <v>4</v>
      </c>
      <c r="D19" s="63">
        <v>17802.78</v>
      </c>
      <c r="E19" s="64">
        <v>14242.22</v>
      </c>
      <c r="F19" s="67">
        <v>13187.24</v>
      </c>
      <c r="G19" s="64">
        <v>11868.52</v>
      </c>
      <c r="H19" s="64">
        <v>10173.01</v>
      </c>
      <c r="K19" s="87"/>
      <c r="L19" s="87"/>
      <c r="M19" s="86">
        <v>4</v>
      </c>
      <c r="N19" s="63">
        <v>17802.78</v>
      </c>
      <c r="O19" s="64">
        <v>14242.22</v>
      </c>
      <c r="P19" s="67">
        <v>13187.24</v>
      </c>
      <c r="Q19" s="64">
        <v>11868.52</v>
      </c>
      <c r="R19" s="64">
        <v>10173.01</v>
      </c>
    </row>
    <row r="20" spans="1:18" ht="18">
      <c r="A20" s="87"/>
      <c r="B20" s="87"/>
      <c r="C20" s="87"/>
      <c r="D20" s="65">
        <v>26431.24</v>
      </c>
      <c r="E20" s="66">
        <v>21144.99</v>
      </c>
      <c r="F20" s="67">
        <v>19578.7</v>
      </c>
      <c r="G20" s="66">
        <v>17620.830000000002</v>
      </c>
      <c r="H20" s="66">
        <v>15103.57</v>
      </c>
      <c r="K20" s="87"/>
      <c r="L20" s="87"/>
      <c r="M20" s="87"/>
      <c r="N20" s="65">
        <v>26431.24</v>
      </c>
      <c r="O20" s="66">
        <v>21144.99</v>
      </c>
      <c r="P20" s="67">
        <v>19578.7</v>
      </c>
      <c r="Q20" s="66">
        <v>17620.830000000002</v>
      </c>
      <c r="R20" s="66">
        <v>15103.57</v>
      </c>
    </row>
    <row r="21" spans="1:18" ht="18">
      <c r="A21" s="87"/>
      <c r="B21" s="87"/>
      <c r="C21" s="87"/>
      <c r="D21" s="65">
        <v>38526.370000000003</v>
      </c>
      <c r="E21" s="66">
        <v>30821.1</v>
      </c>
      <c r="F21" s="67">
        <v>28538.06</v>
      </c>
      <c r="G21" s="66">
        <v>25684.25</v>
      </c>
      <c r="H21" s="66">
        <v>22015.07</v>
      </c>
      <c r="K21" s="87"/>
      <c r="L21" s="87"/>
      <c r="M21" s="87"/>
      <c r="N21" s="65">
        <v>38526.370000000003</v>
      </c>
      <c r="O21" s="66">
        <v>30821.1</v>
      </c>
      <c r="P21" s="67">
        <v>28538.06</v>
      </c>
      <c r="Q21" s="66">
        <v>25684.25</v>
      </c>
      <c r="R21" s="66">
        <v>22015.07</v>
      </c>
    </row>
    <row r="22" spans="1:18" ht="18">
      <c r="A22" s="87"/>
      <c r="B22" s="87"/>
      <c r="C22" s="87"/>
      <c r="D22" s="65">
        <v>20179.310000000001</v>
      </c>
      <c r="E22" s="66">
        <v>16143.45</v>
      </c>
      <c r="F22" s="67">
        <v>14947.64</v>
      </c>
      <c r="G22" s="66">
        <v>13452.88</v>
      </c>
      <c r="H22" s="66">
        <v>11531.04</v>
      </c>
      <c r="K22" s="87"/>
      <c r="L22" s="87"/>
      <c r="M22" s="87"/>
      <c r="N22" s="65">
        <v>20179.310000000001</v>
      </c>
      <c r="O22" s="66">
        <v>16143.45</v>
      </c>
      <c r="P22" s="67">
        <v>14947.64</v>
      </c>
      <c r="Q22" s="66">
        <v>13452.88</v>
      </c>
      <c r="R22" s="66">
        <v>11531.04</v>
      </c>
    </row>
    <row r="23" spans="1:18" ht="18">
      <c r="A23" s="88"/>
      <c r="B23" s="88"/>
      <c r="C23" s="88"/>
      <c r="D23" s="65">
        <v>24119.23</v>
      </c>
      <c r="E23" s="66">
        <v>19295.39</v>
      </c>
      <c r="F23" s="67">
        <v>17866.099999999999</v>
      </c>
      <c r="G23" s="66">
        <v>16079.49</v>
      </c>
      <c r="H23" s="66">
        <v>13782.42</v>
      </c>
      <c r="K23" s="88"/>
      <c r="L23" s="88"/>
      <c r="M23" s="88"/>
      <c r="N23" s="65">
        <v>24119.23</v>
      </c>
      <c r="O23" s="66">
        <v>19295.39</v>
      </c>
      <c r="P23" s="67">
        <v>17866.099999999999</v>
      </c>
      <c r="Q23" s="66">
        <v>16079.49</v>
      </c>
      <c r="R23" s="66">
        <v>13782.42</v>
      </c>
    </row>
    <row r="26" spans="1:18" ht="23" customHeight="1">
      <c r="A26" s="123" t="s">
        <v>96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</row>
    <row r="27" spans="1:18" ht="24" customHeight="1">
      <c r="A27" s="122" t="s">
        <v>94</v>
      </c>
      <c r="B27" s="122"/>
      <c r="C27" s="122"/>
      <c r="D27" s="122"/>
      <c r="E27" s="122"/>
      <c r="F27" s="122"/>
      <c r="G27" s="122"/>
      <c r="H27" s="122"/>
      <c r="K27" s="122" t="s">
        <v>95</v>
      </c>
      <c r="L27" s="122"/>
      <c r="M27" s="122"/>
      <c r="N27" s="122"/>
      <c r="O27" s="122"/>
      <c r="P27" s="122"/>
      <c r="Q27" s="122"/>
      <c r="R27" s="122"/>
    </row>
    <row r="28" spans="1:18" ht="26" customHeight="1">
      <c r="A28" s="13" t="s">
        <v>44</v>
      </c>
      <c r="B28" s="13" t="s">
        <v>7</v>
      </c>
      <c r="C28" s="13" t="s">
        <v>11</v>
      </c>
      <c r="D28" s="13" t="s">
        <v>73</v>
      </c>
      <c r="E28" s="13" t="s">
        <v>74</v>
      </c>
      <c r="F28" s="13" t="s">
        <v>72</v>
      </c>
      <c r="G28" s="13" t="s">
        <v>75</v>
      </c>
      <c r="H28" s="13" t="s">
        <v>76</v>
      </c>
      <c r="K28" s="13" t="s">
        <v>44</v>
      </c>
      <c r="L28" s="13" t="s">
        <v>7</v>
      </c>
      <c r="M28" s="13" t="s">
        <v>11</v>
      </c>
      <c r="N28" s="13" t="s">
        <v>73</v>
      </c>
      <c r="O28" s="13" t="s">
        <v>74</v>
      </c>
      <c r="P28" s="13" t="s">
        <v>72</v>
      </c>
      <c r="Q28" s="13" t="s">
        <v>75</v>
      </c>
      <c r="R28" s="13" t="s">
        <v>76</v>
      </c>
    </row>
    <row r="29" spans="1:18" ht="18">
      <c r="A29" s="86">
        <v>600</v>
      </c>
      <c r="B29" s="86" t="s">
        <v>8</v>
      </c>
      <c r="C29" s="86">
        <v>3</v>
      </c>
      <c r="D29" s="15">
        <v>37594.94</v>
      </c>
      <c r="E29" s="15">
        <v>24049.11</v>
      </c>
      <c r="F29" s="67">
        <v>29400.55</v>
      </c>
      <c r="G29" s="15">
        <v>31496.35</v>
      </c>
      <c r="H29" s="15">
        <v>28031.87</v>
      </c>
      <c r="K29" s="86">
        <v>600</v>
      </c>
      <c r="L29" s="86" t="s">
        <v>8</v>
      </c>
      <c r="M29" s="86">
        <v>3</v>
      </c>
      <c r="N29" s="15">
        <v>34181.339999999997</v>
      </c>
      <c r="O29" s="15">
        <v>22957.02</v>
      </c>
      <c r="P29" s="67">
        <v>29400.55</v>
      </c>
      <c r="Q29" s="15">
        <v>29759.1</v>
      </c>
      <c r="R29" s="15">
        <v>26066.720000000001</v>
      </c>
    </row>
    <row r="30" spans="1:18" ht="18">
      <c r="A30" s="87"/>
      <c r="B30" s="87"/>
      <c r="C30" s="87"/>
      <c r="D30" s="15">
        <v>33882.370000000003</v>
      </c>
      <c r="E30" s="15">
        <v>22256.71</v>
      </c>
      <c r="F30" s="67">
        <v>26849.56</v>
      </c>
      <c r="G30" s="15">
        <v>29214.1</v>
      </c>
      <c r="H30" s="15">
        <v>25305.37</v>
      </c>
      <c r="K30" s="87"/>
      <c r="L30" s="87"/>
      <c r="M30" s="87"/>
      <c r="N30" s="15">
        <v>30568.639999999999</v>
      </c>
      <c r="O30" s="15">
        <v>22256.71</v>
      </c>
      <c r="P30" s="67">
        <v>26849.56</v>
      </c>
      <c r="Q30" s="15">
        <v>29214.1</v>
      </c>
      <c r="R30" s="15">
        <v>23222.82</v>
      </c>
    </row>
    <row r="31" spans="1:18" ht="19" customHeight="1">
      <c r="A31" s="87"/>
      <c r="B31" s="87"/>
      <c r="C31" s="87"/>
      <c r="D31" s="15">
        <v>48507.08</v>
      </c>
      <c r="E31" s="15">
        <v>27718.33</v>
      </c>
      <c r="F31" s="67">
        <v>35931.17</v>
      </c>
      <c r="G31" s="15">
        <v>35931.17</v>
      </c>
      <c r="H31" s="15">
        <v>35931.17</v>
      </c>
      <c r="K31" s="87"/>
      <c r="L31" s="87"/>
      <c r="M31" s="87"/>
      <c r="N31" s="15">
        <v>40575.879999999997</v>
      </c>
      <c r="O31" s="15">
        <v>27718.33</v>
      </c>
      <c r="P31" s="67">
        <v>35931.17</v>
      </c>
      <c r="Q31" s="15">
        <v>35931.17</v>
      </c>
      <c r="R31" s="15">
        <v>31014.13</v>
      </c>
    </row>
    <row r="32" spans="1:18" ht="18" customHeight="1">
      <c r="A32" s="87"/>
      <c r="B32" s="87"/>
      <c r="C32" s="87"/>
      <c r="D32" s="15">
        <v>53445.919999999998</v>
      </c>
      <c r="E32" s="15">
        <v>40956.69</v>
      </c>
      <c r="F32" s="67">
        <v>45890.71</v>
      </c>
      <c r="G32" s="15">
        <v>54397.25</v>
      </c>
      <c r="H32" s="15">
        <v>40335.42</v>
      </c>
      <c r="K32" s="87"/>
      <c r="L32" s="87"/>
      <c r="M32" s="87"/>
      <c r="N32" s="15">
        <v>49799.98</v>
      </c>
      <c r="O32" s="15">
        <v>38658.29</v>
      </c>
      <c r="P32" s="67">
        <v>45890.71</v>
      </c>
      <c r="Q32" s="15">
        <v>50833.47</v>
      </c>
      <c r="R32" s="15">
        <v>38114.879999999997</v>
      </c>
    </row>
    <row r="33" spans="1:18" ht="18" customHeight="1">
      <c r="A33" s="87"/>
      <c r="B33" s="87"/>
      <c r="C33" s="88"/>
      <c r="D33" s="15">
        <v>33017.93</v>
      </c>
      <c r="E33" s="15">
        <v>18867.39</v>
      </c>
      <c r="F33" s="67">
        <v>24457.73</v>
      </c>
      <c r="G33" s="15">
        <v>24457.73</v>
      </c>
      <c r="H33" s="15">
        <v>24457.73</v>
      </c>
      <c r="K33" s="87"/>
      <c r="L33" s="87"/>
      <c r="M33" s="88"/>
      <c r="N33" s="15">
        <v>29309.02</v>
      </c>
      <c r="O33" s="15">
        <v>18867.39</v>
      </c>
      <c r="P33" s="67">
        <v>24457.73</v>
      </c>
      <c r="Q33" s="15">
        <v>24457.73</v>
      </c>
      <c r="R33" s="15">
        <v>22169.81</v>
      </c>
    </row>
    <row r="34" spans="1:18" ht="18">
      <c r="A34" s="87"/>
      <c r="B34" s="87"/>
      <c r="C34" s="86">
        <v>4</v>
      </c>
      <c r="D34" s="15">
        <v>10833.13</v>
      </c>
      <c r="E34" s="15">
        <v>9848.26</v>
      </c>
      <c r="F34" s="67">
        <v>10237.34</v>
      </c>
      <c r="G34" s="15">
        <v>13224.63</v>
      </c>
      <c r="H34" s="15">
        <v>8286.4599999999991</v>
      </c>
      <c r="K34" s="87"/>
      <c r="L34" s="87"/>
      <c r="M34" s="86">
        <v>4</v>
      </c>
      <c r="N34" s="15">
        <v>10833.13</v>
      </c>
      <c r="O34" s="15">
        <v>8887.8700000000008</v>
      </c>
      <c r="P34" s="67">
        <v>10237.34</v>
      </c>
      <c r="Q34" s="15">
        <v>11739.11</v>
      </c>
      <c r="R34" s="15">
        <v>8286.4599999999991</v>
      </c>
    </row>
    <row r="35" spans="1:18" ht="18">
      <c r="A35" s="87"/>
      <c r="B35" s="87"/>
      <c r="C35" s="87"/>
      <c r="D35" s="15">
        <v>17620.91</v>
      </c>
      <c r="E35" s="15">
        <v>13021.76</v>
      </c>
      <c r="F35" s="67">
        <v>14838.71</v>
      </c>
      <c r="G35" s="15">
        <v>17250.05</v>
      </c>
      <c r="H35" s="15">
        <v>13263.95</v>
      </c>
      <c r="K35" s="87"/>
      <c r="L35" s="87"/>
      <c r="M35" s="87"/>
      <c r="N35" s="15">
        <v>16413.439999999999</v>
      </c>
      <c r="O35" s="15">
        <v>12610.33</v>
      </c>
      <c r="P35" s="67">
        <v>14838.71</v>
      </c>
      <c r="Q35" s="15">
        <v>16527.169999999998</v>
      </c>
      <c r="R35" s="15">
        <v>12528.08</v>
      </c>
    </row>
    <row r="36" spans="1:18" ht="18">
      <c r="A36" s="87"/>
      <c r="B36" s="87"/>
      <c r="C36" s="87"/>
      <c r="D36" s="15">
        <v>23268.03</v>
      </c>
      <c r="E36" s="15">
        <v>18632.86</v>
      </c>
      <c r="F36" s="67">
        <v>20464.03</v>
      </c>
      <c r="G36" s="15">
        <v>24822.45</v>
      </c>
      <c r="H36" s="15">
        <v>17617.72</v>
      </c>
      <c r="K36" s="87"/>
      <c r="L36" s="87"/>
      <c r="M36" s="87"/>
      <c r="N36" s="15">
        <v>23088.26</v>
      </c>
      <c r="O36" s="15">
        <v>17358.71</v>
      </c>
      <c r="P36" s="67">
        <v>20464.03</v>
      </c>
      <c r="Q36" s="15">
        <v>22615.57</v>
      </c>
      <c r="R36" s="15">
        <v>17617.72</v>
      </c>
    </row>
    <row r="37" spans="1:18" ht="18">
      <c r="A37" s="87"/>
      <c r="B37" s="87"/>
      <c r="C37" s="87"/>
      <c r="D37" s="15">
        <v>20093.07</v>
      </c>
      <c r="E37" s="15">
        <v>15560.06</v>
      </c>
      <c r="F37" s="67">
        <v>17350.88</v>
      </c>
      <c r="G37" s="15">
        <v>20681.490000000002</v>
      </c>
      <c r="H37" s="15">
        <v>15175.78</v>
      </c>
      <c r="K37" s="87"/>
      <c r="L37" s="87"/>
      <c r="M37" s="87"/>
      <c r="N37" s="15">
        <v>19463.669999999998</v>
      </c>
      <c r="O37" s="15">
        <v>14783.29</v>
      </c>
      <c r="P37" s="67">
        <v>17350.88</v>
      </c>
      <c r="Q37" s="15">
        <v>19399.75</v>
      </c>
      <c r="R37" s="15">
        <v>14896.3</v>
      </c>
    </row>
    <row r="38" spans="1:18" ht="18">
      <c r="A38" s="87"/>
      <c r="B38" s="88"/>
      <c r="C38" s="88"/>
      <c r="D38" s="15">
        <v>19056.79</v>
      </c>
      <c r="E38" s="15">
        <v>16366.68</v>
      </c>
      <c r="F38" s="67">
        <v>17429.439999999999</v>
      </c>
      <c r="G38" s="15">
        <v>21902.39</v>
      </c>
      <c r="H38" s="15">
        <v>14508.33</v>
      </c>
      <c r="K38" s="87"/>
      <c r="L38" s="88"/>
      <c r="M38" s="88"/>
      <c r="N38" s="15">
        <v>19031.75</v>
      </c>
      <c r="O38" s="15">
        <v>14336.01</v>
      </c>
      <c r="P38" s="67">
        <v>17429.439999999999</v>
      </c>
      <c r="Q38" s="15">
        <v>18763.759999999998</v>
      </c>
      <c r="R38" s="15">
        <v>14508.33</v>
      </c>
    </row>
    <row r="39" spans="1:18" ht="18">
      <c r="A39" s="87"/>
      <c r="B39" s="86" t="s">
        <v>9</v>
      </c>
      <c r="C39" s="86">
        <v>3</v>
      </c>
      <c r="D39" s="15">
        <v>40536.35</v>
      </c>
      <c r="E39" s="15">
        <v>27311.47</v>
      </c>
      <c r="F39" s="67">
        <v>32536.11</v>
      </c>
      <c r="G39" s="15">
        <v>35923.51</v>
      </c>
      <c r="H39" s="15">
        <v>30323.93</v>
      </c>
      <c r="K39" s="87"/>
      <c r="L39" s="86" t="s">
        <v>9</v>
      </c>
      <c r="M39" s="86">
        <v>3</v>
      </c>
      <c r="N39" s="15">
        <v>39989.67</v>
      </c>
      <c r="O39" s="15">
        <v>25305.74</v>
      </c>
      <c r="P39" s="67">
        <v>32536.11</v>
      </c>
      <c r="Q39" s="15">
        <v>32803.74</v>
      </c>
      <c r="R39" s="15">
        <v>30074.79</v>
      </c>
    </row>
    <row r="40" spans="1:18" ht="18">
      <c r="A40" s="87"/>
      <c r="B40" s="87"/>
      <c r="C40" s="87"/>
      <c r="D40" s="15">
        <v>32144.32</v>
      </c>
      <c r="E40" s="15">
        <v>21036.13</v>
      </c>
      <c r="F40" s="67">
        <v>25424.55</v>
      </c>
      <c r="G40" s="15">
        <v>27603.38</v>
      </c>
      <c r="H40" s="15">
        <v>24001.64</v>
      </c>
      <c r="K40" s="87"/>
      <c r="L40" s="87"/>
      <c r="M40" s="87"/>
      <c r="N40" s="15">
        <v>30139.599999999999</v>
      </c>
      <c r="O40" s="15">
        <v>20334.810000000001</v>
      </c>
      <c r="P40" s="67">
        <v>25424.55</v>
      </c>
      <c r="Q40" s="15">
        <v>26368.65</v>
      </c>
      <c r="R40" s="15">
        <v>22855.06</v>
      </c>
    </row>
    <row r="41" spans="1:18" ht="18">
      <c r="A41" s="87"/>
      <c r="B41" s="87"/>
      <c r="C41" s="87"/>
      <c r="D41" s="15">
        <v>36368.04</v>
      </c>
      <c r="E41" s="15">
        <v>24093.759999999998</v>
      </c>
      <c r="F41" s="67">
        <v>28942.86</v>
      </c>
      <c r="G41" s="15">
        <v>31647.68</v>
      </c>
      <c r="H41" s="15">
        <v>27176.44</v>
      </c>
      <c r="K41" s="87"/>
      <c r="L41" s="87"/>
      <c r="M41" s="87"/>
      <c r="N41" s="15">
        <v>35977.919999999998</v>
      </c>
      <c r="O41" s="15">
        <v>22834.2</v>
      </c>
      <c r="P41" s="67">
        <v>28942.86</v>
      </c>
      <c r="Q41" s="15">
        <v>29621.57</v>
      </c>
      <c r="R41" s="15">
        <v>26987.24</v>
      </c>
    </row>
    <row r="42" spans="1:18" ht="18">
      <c r="A42" s="87"/>
      <c r="B42" s="87"/>
      <c r="C42" s="87"/>
      <c r="D42" s="15">
        <v>60273.51</v>
      </c>
      <c r="E42" s="15">
        <v>40274.65</v>
      </c>
      <c r="F42" s="67">
        <v>48175.44</v>
      </c>
      <c r="G42" s="15">
        <v>52938.77</v>
      </c>
      <c r="H42" s="15">
        <v>45064.69</v>
      </c>
      <c r="K42" s="87"/>
      <c r="L42" s="87"/>
      <c r="M42" s="87"/>
      <c r="N42" s="15">
        <v>55147.15</v>
      </c>
      <c r="O42" s="15">
        <v>39947.379999999997</v>
      </c>
      <c r="P42" s="67">
        <v>48175.44</v>
      </c>
      <c r="Q42" s="15">
        <v>52311.06</v>
      </c>
      <c r="R42" s="15">
        <v>42276.09</v>
      </c>
    </row>
    <row r="43" spans="1:18" ht="18">
      <c r="A43" s="87"/>
      <c r="B43" s="87"/>
      <c r="C43" s="88"/>
      <c r="D43" s="15">
        <v>49254.47</v>
      </c>
      <c r="E43" s="15">
        <v>28413.38</v>
      </c>
      <c r="F43" s="67">
        <v>36646.9</v>
      </c>
      <c r="G43" s="15">
        <v>36865.74</v>
      </c>
      <c r="H43" s="15">
        <v>36503.980000000003</v>
      </c>
      <c r="K43" s="87"/>
      <c r="L43" s="87"/>
      <c r="M43" s="88"/>
      <c r="N43" s="15">
        <v>46538.99</v>
      </c>
      <c r="O43" s="15">
        <v>28413.38</v>
      </c>
      <c r="P43" s="67">
        <v>36646.9</v>
      </c>
      <c r="Q43" s="15">
        <v>36865.74</v>
      </c>
      <c r="R43" s="15">
        <v>34947.730000000003</v>
      </c>
    </row>
    <row r="44" spans="1:18" ht="18">
      <c r="A44" s="87"/>
      <c r="B44" s="87"/>
      <c r="C44" s="86">
        <v>4</v>
      </c>
      <c r="D44" s="63">
        <v>17658.5</v>
      </c>
      <c r="E44" s="64">
        <v>10267.24</v>
      </c>
      <c r="F44" s="67">
        <v>13187.24</v>
      </c>
      <c r="G44" s="64">
        <v>13331.52</v>
      </c>
      <c r="H44" s="64">
        <v>13093.02</v>
      </c>
      <c r="K44" s="87"/>
      <c r="L44" s="87"/>
      <c r="M44" s="86">
        <v>4</v>
      </c>
      <c r="N44" s="63">
        <v>16345.6</v>
      </c>
      <c r="O44" s="64">
        <v>10267.24</v>
      </c>
      <c r="P44" s="67">
        <v>13187.24</v>
      </c>
      <c r="Q44" s="64">
        <v>13331.52</v>
      </c>
      <c r="R44" s="64">
        <v>12395.38</v>
      </c>
    </row>
    <row r="45" spans="1:18" ht="18">
      <c r="A45" s="87"/>
      <c r="B45" s="87"/>
      <c r="C45" s="87"/>
      <c r="D45" s="65">
        <v>24644.25</v>
      </c>
      <c r="E45" s="66">
        <v>16270.58</v>
      </c>
      <c r="F45" s="67">
        <v>19578.7</v>
      </c>
      <c r="G45" s="66">
        <v>21365.69</v>
      </c>
      <c r="H45" s="66">
        <v>18411.68</v>
      </c>
      <c r="K45" s="87"/>
      <c r="L45" s="87"/>
      <c r="M45" s="87"/>
      <c r="N45" s="65">
        <v>23440.85</v>
      </c>
      <c r="O45" s="66">
        <v>15513.65</v>
      </c>
      <c r="P45" s="67">
        <v>19578.7</v>
      </c>
      <c r="Q45" s="66">
        <v>20130.21</v>
      </c>
      <c r="R45" s="66">
        <v>17760.919999999998</v>
      </c>
    </row>
    <row r="46" spans="1:18" ht="18">
      <c r="A46" s="87"/>
      <c r="B46" s="87"/>
      <c r="C46" s="87"/>
      <c r="D46" s="65">
        <v>35908.980000000003</v>
      </c>
      <c r="E46" s="66">
        <v>23724.39</v>
      </c>
      <c r="F46" s="67">
        <v>28538.06</v>
      </c>
      <c r="G46" s="66">
        <v>31155.439999999999</v>
      </c>
      <c r="H46" s="66">
        <v>26828.74</v>
      </c>
      <c r="K46" s="87"/>
      <c r="L46" s="87"/>
      <c r="M46" s="87"/>
      <c r="N46" s="65">
        <v>35137.22</v>
      </c>
      <c r="O46" s="66">
        <v>23596.19</v>
      </c>
      <c r="P46" s="67">
        <v>28538.06</v>
      </c>
      <c r="Q46" s="66">
        <v>30683.599999999999</v>
      </c>
      <c r="R46" s="66">
        <v>26381.14</v>
      </c>
    </row>
    <row r="47" spans="1:18" ht="18">
      <c r="A47" s="87"/>
      <c r="B47" s="87"/>
      <c r="C47" s="87"/>
      <c r="D47" s="65">
        <v>20058.05</v>
      </c>
      <c r="E47" s="66">
        <v>11610.23</v>
      </c>
      <c r="F47" s="67">
        <v>14947.64</v>
      </c>
      <c r="G47" s="66">
        <v>15068.9</v>
      </c>
      <c r="H47" s="66">
        <v>14868.45</v>
      </c>
      <c r="K47" s="87"/>
      <c r="L47" s="87"/>
      <c r="M47" s="87"/>
      <c r="N47" s="65">
        <v>18575.060000000001</v>
      </c>
      <c r="O47" s="66">
        <v>11610.23</v>
      </c>
      <c r="P47" s="67">
        <v>14947.64</v>
      </c>
      <c r="Q47" s="66">
        <v>15068.9</v>
      </c>
      <c r="R47" s="66">
        <v>14014.82</v>
      </c>
    </row>
    <row r="48" spans="1:18" ht="18">
      <c r="A48" s="88"/>
      <c r="B48" s="88"/>
      <c r="C48" s="88"/>
      <c r="D48" s="65">
        <v>22143.38</v>
      </c>
      <c r="E48" s="66">
        <v>15072.77</v>
      </c>
      <c r="F48" s="67">
        <v>17866.099999999999</v>
      </c>
      <c r="G48" s="66">
        <v>19841.95</v>
      </c>
      <c r="H48" s="66">
        <v>16575.75</v>
      </c>
      <c r="K48" s="88"/>
      <c r="L48" s="88"/>
      <c r="M48" s="88"/>
      <c r="N48" s="65">
        <v>22143.38</v>
      </c>
      <c r="O48" s="66">
        <v>13896.19</v>
      </c>
      <c r="P48" s="67">
        <v>17866.099999999999</v>
      </c>
      <c r="Q48" s="66">
        <v>18034.91</v>
      </c>
      <c r="R48" s="66">
        <v>16575.75</v>
      </c>
    </row>
    <row r="51" spans="1:18" ht="22" customHeight="1">
      <c r="A51" s="121" t="s">
        <v>91</v>
      </c>
      <c r="B51" s="121"/>
      <c r="C51" s="121"/>
      <c r="D51" s="121"/>
      <c r="E51" s="121"/>
      <c r="F51" s="121"/>
      <c r="G51" s="121"/>
      <c r="H51" s="121"/>
      <c r="K51" s="121" t="s">
        <v>91</v>
      </c>
      <c r="L51" s="121"/>
      <c r="M51" s="121"/>
      <c r="N51" s="121"/>
      <c r="O51" s="121"/>
      <c r="P51" s="121"/>
      <c r="Q51" s="121"/>
      <c r="R51" s="121"/>
    </row>
    <row r="52" spans="1:18" ht="22" customHeight="1">
      <c r="A52" s="13" t="s">
        <v>44</v>
      </c>
      <c r="B52" s="13" t="s">
        <v>7</v>
      </c>
      <c r="C52" s="13" t="s">
        <v>11</v>
      </c>
      <c r="D52" s="13" t="s">
        <v>73</v>
      </c>
      <c r="E52" s="13" t="s">
        <v>74</v>
      </c>
      <c r="F52" s="13" t="s">
        <v>72</v>
      </c>
      <c r="G52" s="13" t="s">
        <v>75</v>
      </c>
      <c r="H52" s="13" t="s">
        <v>76</v>
      </c>
      <c r="K52" s="13" t="s">
        <v>44</v>
      </c>
      <c r="L52" s="13" t="s">
        <v>7</v>
      </c>
      <c r="M52" s="13" t="s">
        <v>11</v>
      </c>
      <c r="N52" s="13" t="s">
        <v>73</v>
      </c>
      <c r="O52" s="13" t="s">
        <v>74</v>
      </c>
      <c r="P52" s="13" t="s">
        <v>72</v>
      </c>
      <c r="Q52" s="13" t="s">
        <v>75</v>
      </c>
      <c r="R52" s="13" t="s">
        <v>76</v>
      </c>
    </row>
    <row r="53" spans="1:18" ht="18">
      <c r="A53" s="85">
        <v>600</v>
      </c>
      <c r="B53" s="85" t="s">
        <v>8</v>
      </c>
      <c r="C53" s="85">
        <v>3</v>
      </c>
      <c r="D53" s="15">
        <f>(D29-N29)/N29*100</f>
        <v>9.9867354527353402</v>
      </c>
      <c r="E53" s="15">
        <f>(E29-O29)/O29*100</f>
        <v>4.7571069764281253</v>
      </c>
      <c r="F53" s="15">
        <f>(F29-P29)/P29*100</f>
        <v>0</v>
      </c>
      <c r="G53" s="15">
        <f>(G29-Q29)/Q29*100</f>
        <v>5.8377101458041407</v>
      </c>
      <c r="H53" s="15">
        <f>(H29-R29)/R29*100</f>
        <v>7.5389231940190315</v>
      </c>
      <c r="K53" s="85">
        <v>600</v>
      </c>
      <c r="L53" s="85" t="s">
        <v>8</v>
      </c>
      <c r="M53" s="85">
        <v>3</v>
      </c>
      <c r="N53" s="15">
        <v>9.9867354527353402</v>
      </c>
      <c r="O53" s="15">
        <v>4.7571069764281253</v>
      </c>
      <c r="P53" s="15">
        <v>0</v>
      </c>
      <c r="Q53" s="15">
        <v>5.8377101458041407</v>
      </c>
      <c r="R53" s="15">
        <v>7.5389231940190315</v>
      </c>
    </row>
    <row r="54" spans="1:18" ht="18">
      <c r="A54" s="85"/>
      <c r="B54" s="85"/>
      <c r="C54" s="85"/>
      <c r="D54" s="15">
        <f>(D30-N30)/N30*100</f>
        <v>10.8402925350948</v>
      </c>
      <c r="E54" s="15">
        <f>(E30-O30)/O30*100</f>
        <v>0</v>
      </c>
      <c r="F54" s="15">
        <f>(F30-P30)/P30*100</f>
        <v>0</v>
      </c>
      <c r="G54" s="15">
        <f>(G30-Q30)/Q30*100</f>
        <v>0</v>
      </c>
      <c r="H54" s="15">
        <f>(H30-R30)/R30*100</f>
        <v>8.9676878174140739</v>
      </c>
      <c r="K54" s="85"/>
      <c r="L54" s="85"/>
      <c r="M54" s="85"/>
      <c r="N54" s="15">
        <v>10.8402925350948</v>
      </c>
      <c r="O54" s="15">
        <v>0</v>
      </c>
      <c r="P54" s="15">
        <v>0</v>
      </c>
      <c r="Q54" s="15">
        <v>0</v>
      </c>
      <c r="R54" s="15">
        <v>8.9676878174140739</v>
      </c>
    </row>
    <row r="55" spans="1:18" ht="18">
      <c r="A55" s="85"/>
      <c r="B55" s="85"/>
      <c r="C55" s="85"/>
      <c r="D55" s="15">
        <f>(D31-N31)/N31*100</f>
        <v>19.546587775791934</v>
      </c>
      <c r="E55" s="15">
        <f>(E31-O31)/O31*100</f>
        <v>0</v>
      </c>
      <c r="F55" s="15">
        <f>(F31-P31)/P31*100</f>
        <v>0</v>
      </c>
      <c r="G55" s="15">
        <f>(G31-Q31)/Q31*100</f>
        <v>0</v>
      </c>
      <c r="H55" s="15">
        <f>(H31-R31)/R31*100</f>
        <v>15.854192911424558</v>
      </c>
      <c r="K55" s="85"/>
      <c r="L55" s="85"/>
      <c r="M55" s="85"/>
      <c r="N55" s="15">
        <v>19.546587775791934</v>
      </c>
      <c r="O55" s="15">
        <v>0</v>
      </c>
      <c r="P55" s="15">
        <v>0</v>
      </c>
      <c r="Q55" s="15">
        <v>0</v>
      </c>
      <c r="R55" s="15">
        <v>15.854192911424558</v>
      </c>
    </row>
    <row r="56" spans="1:18" ht="18">
      <c r="A56" s="85"/>
      <c r="B56" s="85"/>
      <c r="C56" s="85"/>
      <c r="D56" s="15">
        <f>(D32-N32)/N32*100</f>
        <v>7.3211675988624796</v>
      </c>
      <c r="E56" s="15">
        <f>(E32-O32)/O32*100</f>
        <v>5.9454259358083386</v>
      </c>
      <c r="F56" s="15">
        <f>(F32-P32)/P32*100</f>
        <v>0</v>
      </c>
      <c r="G56" s="15">
        <f>(G32-Q32)/Q32*100</f>
        <v>7.0106959056700209</v>
      </c>
      <c r="H56" s="15">
        <f>(H32-R32)/R32*100</f>
        <v>5.8259136589174654</v>
      </c>
      <c r="K56" s="85"/>
      <c r="L56" s="85"/>
      <c r="M56" s="85"/>
      <c r="N56" s="15">
        <v>7.3211675988624796</v>
      </c>
      <c r="O56" s="15">
        <v>5.9454259358083386</v>
      </c>
      <c r="P56" s="15">
        <v>0</v>
      </c>
      <c r="Q56" s="15">
        <v>7.0106959056700209</v>
      </c>
      <c r="R56" s="15">
        <v>5.8259136589174654</v>
      </c>
    </row>
    <row r="57" spans="1:18" ht="18">
      <c r="A57" s="85"/>
      <c r="B57" s="85"/>
      <c r="C57" s="85"/>
      <c r="D57" s="15">
        <f>(D33-N33)/N33*100</f>
        <v>12.654500218704001</v>
      </c>
      <c r="E57" s="15">
        <f>(E33-O33)/O33*100</f>
        <v>0</v>
      </c>
      <c r="F57" s="15">
        <f>(F33-P33)/P33*100</f>
        <v>0</v>
      </c>
      <c r="G57" s="15">
        <f>(G33-Q33)/Q33*100</f>
        <v>0</v>
      </c>
      <c r="H57" s="15">
        <f>(H33-R33)/R33*100</f>
        <v>10.319980189275407</v>
      </c>
      <c r="K57" s="85"/>
      <c r="L57" s="85"/>
      <c r="M57" s="85"/>
      <c r="N57" s="15">
        <v>12.654500218704001</v>
      </c>
      <c r="O57" s="15">
        <v>0</v>
      </c>
      <c r="P57" s="15">
        <v>0</v>
      </c>
      <c r="Q57" s="15">
        <v>0</v>
      </c>
      <c r="R57" s="15">
        <v>10.319980189275407</v>
      </c>
    </row>
    <row r="58" spans="1:18" ht="18">
      <c r="A58" s="85"/>
      <c r="B58" s="85"/>
      <c r="C58" s="85">
        <v>4</v>
      </c>
      <c r="D58" s="15">
        <f>(D34-N34)/N34*100</f>
        <v>0</v>
      </c>
      <c r="E58" s="15">
        <f>(E34-O34)/O34*100</f>
        <v>10.805626094891119</v>
      </c>
      <c r="F58" s="15">
        <f>(F34-P34)/P34*100</f>
        <v>0</v>
      </c>
      <c r="G58" s="15">
        <f>(G34-Q34)/Q34*100</f>
        <v>12.654451657749169</v>
      </c>
      <c r="H58" s="15">
        <f>(H34-R34)/R34*100</f>
        <v>0</v>
      </c>
      <c r="K58" s="85"/>
      <c r="L58" s="85"/>
      <c r="M58" s="85">
        <v>4</v>
      </c>
      <c r="N58" s="15">
        <v>0</v>
      </c>
      <c r="O58" s="15">
        <v>10.805626094891119</v>
      </c>
      <c r="P58" s="15">
        <v>0</v>
      </c>
      <c r="Q58" s="15">
        <v>12.654451657749169</v>
      </c>
      <c r="R58" s="15">
        <v>0</v>
      </c>
    </row>
    <row r="59" spans="1:18" ht="18">
      <c r="A59" s="85"/>
      <c r="B59" s="85"/>
      <c r="C59" s="85"/>
      <c r="D59" s="15">
        <f>(D35-N35)/N35*100</f>
        <v>7.3565931334321224</v>
      </c>
      <c r="E59" s="15">
        <f>(E35-O35)/O35*100</f>
        <v>3.2626426112560121</v>
      </c>
      <c r="F59" s="15">
        <f>(F35-P35)/P35*100</f>
        <v>0</v>
      </c>
      <c r="G59" s="15">
        <f>(G35-Q35)/Q35*100</f>
        <v>4.3738885725747423</v>
      </c>
      <c r="H59" s="15">
        <f>(H35-R35)/R35*100</f>
        <v>5.8737651739133279</v>
      </c>
      <c r="K59" s="85"/>
      <c r="L59" s="85"/>
      <c r="M59" s="85"/>
      <c r="N59" s="15">
        <v>7.3565931334321224</v>
      </c>
      <c r="O59" s="15">
        <v>3.2626426112560121</v>
      </c>
      <c r="P59" s="15">
        <v>0</v>
      </c>
      <c r="Q59" s="15">
        <v>4.3738885725747423</v>
      </c>
      <c r="R59" s="15">
        <v>5.8737651739133279</v>
      </c>
    </row>
    <row r="60" spans="1:18" ht="18">
      <c r="A60" s="85"/>
      <c r="B60" s="85"/>
      <c r="C60" s="85"/>
      <c r="D60" s="15">
        <f>(D36-N36)/N36*100</f>
        <v>0.77862082287708323</v>
      </c>
      <c r="E60" s="15">
        <f>(E36-O36)/O36*100</f>
        <v>7.3401191678413982</v>
      </c>
      <c r="F60" s="15">
        <f>(F36-P36)/P36*100</f>
        <v>0</v>
      </c>
      <c r="G60" s="15">
        <f>(G36-Q36)/Q36*100</f>
        <v>9.7582329342130265</v>
      </c>
      <c r="H60" s="15">
        <f>(H36-R36)/R36*100</f>
        <v>0</v>
      </c>
      <c r="K60" s="85"/>
      <c r="L60" s="85"/>
      <c r="M60" s="85"/>
      <c r="N60" s="15">
        <v>0.77862082287708323</v>
      </c>
      <c r="O60" s="15">
        <v>7.3401191678413982</v>
      </c>
      <c r="P60" s="15">
        <v>0</v>
      </c>
      <c r="Q60" s="15">
        <v>9.7582329342130265</v>
      </c>
      <c r="R60" s="15">
        <v>0</v>
      </c>
    </row>
    <row r="61" spans="1:18" ht="18">
      <c r="A61" s="85"/>
      <c r="B61" s="85"/>
      <c r="C61" s="85"/>
      <c r="D61" s="15">
        <f>(D37-N37)/N37*100</f>
        <v>3.2337169711570404</v>
      </c>
      <c r="E61" s="15">
        <f>(E37-O37)/O37*100</f>
        <v>5.2543784232061919</v>
      </c>
      <c r="F61" s="15">
        <f>(F37-P37)/P37*100</f>
        <v>0</v>
      </c>
      <c r="G61" s="15">
        <f>(G37-Q37)/Q37*100</f>
        <v>6.606992358148954</v>
      </c>
      <c r="H61" s="15">
        <f>(H37-R37)/R37*100</f>
        <v>1.876170592697525</v>
      </c>
      <c r="K61" s="85"/>
      <c r="L61" s="85"/>
      <c r="M61" s="85"/>
      <c r="N61" s="15">
        <v>3.2337169711570404</v>
      </c>
      <c r="O61" s="15">
        <v>5.2543784232061919</v>
      </c>
      <c r="P61" s="15">
        <v>0</v>
      </c>
      <c r="Q61" s="15">
        <v>6.606992358148954</v>
      </c>
      <c r="R61" s="15">
        <v>1.876170592697525</v>
      </c>
    </row>
    <row r="62" spans="1:18" ht="18">
      <c r="A62" s="85"/>
      <c r="B62" s="85"/>
      <c r="C62" s="85"/>
      <c r="D62" s="15">
        <f>(D38-N38)/N38*100</f>
        <v>0.13156961393461386</v>
      </c>
      <c r="E62" s="15">
        <f>(E38-O38)/O38*100</f>
        <v>14.164819918512892</v>
      </c>
      <c r="F62" s="15">
        <f>(F38-P38)/P38*100</f>
        <v>0</v>
      </c>
      <c r="G62" s="15">
        <f>(G38-Q38)/Q38*100</f>
        <v>16.727084550218088</v>
      </c>
      <c r="H62" s="15">
        <f>(H38-R38)/R38*100</f>
        <v>0</v>
      </c>
      <c r="K62" s="85"/>
      <c r="L62" s="85"/>
      <c r="M62" s="85"/>
      <c r="N62" s="15">
        <v>0.13156961393461386</v>
      </c>
      <c r="O62" s="15">
        <v>14.164819918512892</v>
      </c>
      <c r="P62" s="15">
        <v>0</v>
      </c>
      <c r="Q62" s="15">
        <v>16.727084550218088</v>
      </c>
      <c r="R62" s="15">
        <v>0</v>
      </c>
    </row>
    <row r="63" spans="1:18" ht="18">
      <c r="A63" s="85"/>
      <c r="B63" s="85" t="s">
        <v>9</v>
      </c>
      <c r="C63" s="85">
        <v>3</v>
      </c>
      <c r="D63" s="15">
        <f>(D39-N39)/N39*100</f>
        <v>1.3670530414479547</v>
      </c>
      <c r="E63" s="15">
        <f>(E39-O39)/O39*100</f>
        <v>7.925988333081742</v>
      </c>
      <c r="F63" s="15">
        <f>(F39-P39)/P39*100</f>
        <v>0</v>
      </c>
      <c r="G63" s="15">
        <f>(G39-Q39)/Q39*100</f>
        <v>9.5104094837966784</v>
      </c>
      <c r="H63" s="15">
        <f>(H39-R39)/R39*100</f>
        <v>0.82840146182234164</v>
      </c>
      <c r="K63" s="85"/>
      <c r="L63" s="85" t="s">
        <v>9</v>
      </c>
      <c r="M63" s="85">
        <v>3</v>
      </c>
      <c r="N63" s="15">
        <v>1.3670530414479547</v>
      </c>
      <c r="O63" s="15">
        <v>7.925988333081742</v>
      </c>
      <c r="P63" s="15">
        <v>0</v>
      </c>
      <c r="Q63" s="15">
        <v>9.5104094837966784</v>
      </c>
      <c r="R63" s="15">
        <v>0.82840146182234164</v>
      </c>
    </row>
    <row r="64" spans="1:18" ht="18">
      <c r="A64" s="85"/>
      <c r="B64" s="85"/>
      <c r="C64" s="85"/>
      <c r="D64" s="15">
        <f>(D40-N40)/N40*100</f>
        <v>6.6514485925493414</v>
      </c>
      <c r="E64" s="15">
        <f>(E40-O40)/O40*100</f>
        <v>3.4488642873968316</v>
      </c>
      <c r="F64" s="15">
        <f>(F40-P40)/P40*100</f>
        <v>0</v>
      </c>
      <c r="G64" s="15">
        <f>(G40-Q40)/Q40*100</f>
        <v>4.6825681254064939</v>
      </c>
      <c r="H64" s="15">
        <f>(H40-R40)/R40*100</f>
        <v>5.0167446508563005</v>
      </c>
      <c r="K64" s="85"/>
      <c r="L64" s="85"/>
      <c r="M64" s="85"/>
      <c r="N64" s="15">
        <v>6.6514485925493414</v>
      </c>
      <c r="O64" s="15">
        <v>3.4488642873968316</v>
      </c>
      <c r="P64" s="15">
        <v>0</v>
      </c>
      <c r="Q64" s="15">
        <v>4.6825681254064939</v>
      </c>
      <c r="R64" s="15">
        <v>5.0167446508563005</v>
      </c>
    </row>
    <row r="65" spans="1:18" ht="18">
      <c r="A65" s="85"/>
      <c r="B65" s="85"/>
      <c r="C65" s="85"/>
      <c r="D65" s="15">
        <f>(D41-N41)/N41*100</f>
        <v>1.0843317234570609</v>
      </c>
      <c r="E65" s="15">
        <f>(E41-O41)/O41*100</f>
        <v>5.5161117972164453</v>
      </c>
      <c r="F65" s="15">
        <f>(F41-P41)/P41*100</f>
        <v>0</v>
      </c>
      <c r="G65" s="15">
        <f>(G41-Q41)/Q41*100</f>
        <v>6.8399818105522456</v>
      </c>
      <c r="H65" s="15">
        <f>(H41-R41)/R41*100</f>
        <v>0.70107206220420126</v>
      </c>
      <c r="K65" s="85"/>
      <c r="L65" s="85"/>
      <c r="M65" s="85"/>
      <c r="N65" s="15">
        <v>1.0843317234570609</v>
      </c>
      <c r="O65" s="15">
        <v>5.5161117972164453</v>
      </c>
      <c r="P65" s="15">
        <v>0</v>
      </c>
      <c r="Q65" s="15">
        <v>6.8399818105522456</v>
      </c>
      <c r="R65" s="15">
        <v>0.70107206220420126</v>
      </c>
    </row>
    <row r="66" spans="1:18" ht="18">
      <c r="A66" s="85"/>
      <c r="B66" s="85"/>
      <c r="C66" s="85"/>
      <c r="D66" s="15">
        <f>(D42-N42)/N42*100</f>
        <v>9.2957840976369592</v>
      </c>
      <c r="E66" s="15">
        <f>(E42-O42)/O42*100</f>
        <v>0.8192527269623292</v>
      </c>
      <c r="F66" s="15">
        <f>(F42-P42)/P42*100</f>
        <v>0</v>
      </c>
      <c r="G66" s="15">
        <f>(G42-Q42)/Q42*100</f>
        <v>1.1999565675021671</v>
      </c>
      <c r="H66" s="15">
        <f>(H42-R42)/R42*100</f>
        <v>6.5961634578789248</v>
      </c>
      <c r="K66" s="85"/>
      <c r="L66" s="85"/>
      <c r="M66" s="85"/>
      <c r="N66" s="15">
        <v>9.2957840976369592</v>
      </c>
      <c r="O66" s="15">
        <v>0.8192527269623292</v>
      </c>
      <c r="P66" s="15">
        <v>0</v>
      </c>
      <c r="Q66" s="15">
        <v>1.1999565675021671</v>
      </c>
      <c r="R66" s="15">
        <v>6.5961634578789248</v>
      </c>
    </row>
    <row r="67" spans="1:18" ht="18">
      <c r="A67" s="85"/>
      <c r="B67" s="85"/>
      <c r="C67" s="85"/>
      <c r="D67" s="15">
        <f>(D43-N43)/N43*100</f>
        <v>5.8348494455939059</v>
      </c>
      <c r="E67" s="15">
        <f>(E43-O43)/O43*100</f>
        <v>0</v>
      </c>
      <c r="F67" s="15">
        <f>(F43-P43)/P43*100</f>
        <v>0</v>
      </c>
      <c r="G67" s="15">
        <f>(G43-Q43)/Q43*100</f>
        <v>0</v>
      </c>
      <c r="H67" s="15">
        <f>(H43-R43)/R43*100</f>
        <v>4.4530789267285735</v>
      </c>
      <c r="K67" s="85"/>
      <c r="L67" s="85"/>
      <c r="M67" s="85"/>
      <c r="N67" s="15">
        <v>5.8348494455939059</v>
      </c>
      <c r="O67" s="15">
        <v>0</v>
      </c>
      <c r="P67" s="15">
        <v>0</v>
      </c>
      <c r="Q67" s="15">
        <v>0</v>
      </c>
      <c r="R67" s="15">
        <v>4.4530789267285735</v>
      </c>
    </row>
    <row r="68" spans="1:18" ht="18">
      <c r="A68" s="85"/>
      <c r="B68" s="85"/>
      <c r="C68" s="85">
        <v>4</v>
      </c>
      <c r="D68" s="15">
        <f>(D44-N44)/N44*100</f>
        <v>8.032130971025838</v>
      </c>
      <c r="E68" s="15">
        <f>(E44-O44)/O44*100</f>
        <v>0</v>
      </c>
      <c r="F68" s="15">
        <f>(F44-P44)/P44*100</f>
        <v>0</v>
      </c>
      <c r="G68" s="15">
        <f>(G44-Q44)/Q44*100</f>
        <v>0</v>
      </c>
      <c r="H68" s="15">
        <f>(H44-R44)/R44*100</f>
        <v>5.6282260003323925</v>
      </c>
      <c r="K68" s="85"/>
      <c r="L68" s="85"/>
      <c r="M68" s="85">
        <v>4</v>
      </c>
      <c r="N68" s="15">
        <v>8.032130971025838</v>
      </c>
      <c r="O68" s="15">
        <v>0</v>
      </c>
      <c r="P68" s="15">
        <v>0</v>
      </c>
      <c r="Q68" s="15">
        <v>0</v>
      </c>
      <c r="R68" s="15">
        <v>5.6282260003323925</v>
      </c>
    </row>
    <row r="69" spans="1:18" ht="18">
      <c r="A69" s="85"/>
      <c r="B69" s="85"/>
      <c r="C69" s="85"/>
      <c r="D69" s="15">
        <f>(D45-N45)/N45*100</f>
        <v>5.133772879396445</v>
      </c>
      <c r="E69" s="15">
        <f>(E45-O45)/O45*100</f>
        <v>4.8791225791480421</v>
      </c>
      <c r="F69" s="15">
        <f>(F45-P45)/P45*100</f>
        <v>0</v>
      </c>
      <c r="G69" s="15">
        <f>(G45-Q45)/Q45*100</f>
        <v>6.1374421826697274</v>
      </c>
      <c r="H69" s="15">
        <f>(H45-R45)/R45*100</f>
        <v>3.6639993874191319</v>
      </c>
      <c r="K69" s="85"/>
      <c r="L69" s="85"/>
      <c r="M69" s="85"/>
      <c r="N69" s="15">
        <v>5.133772879396445</v>
      </c>
      <c r="O69" s="15">
        <v>4.8791225791480421</v>
      </c>
      <c r="P69" s="15">
        <v>0</v>
      </c>
      <c r="Q69" s="15">
        <v>6.1374421826697274</v>
      </c>
      <c r="R69" s="15">
        <v>3.6639993874191319</v>
      </c>
    </row>
    <row r="70" spans="1:18" ht="18">
      <c r="A70" s="85"/>
      <c r="B70" s="85"/>
      <c r="C70" s="85"/>
      <c r="D70" s="15">
        <f>(D46-N46)/N46*100</f>
        <v>2.1964173602806425</v>
      </c>
      <c r="E70" s="15">
        <f>(E46-O46)/O46*100</f>
        <v>0.54330805100315238</v>
      </c>
      <c r="F70" s="15">
        <f>(F46-P46)/P46*100</f>
        <v>0</v>
      </c>
      <c r="G70" s="15">
        <f>(G46-Q46)/Q46*100</f>
        <v>1.5377595849248464</v>
      </c>
      <c r="H70" s="15">
        <f>(H46-R46)/R46*100</f>
        <v>1.696666633814923</v>
      </c>
      <c r="K70" s="85"/>
      <c r="L70" s="85"/>
      <c r="M70" s="85"/>
      <c r="N70" s="15">
        <v>2.1964173602806425</v>
      </c>
      <c r="O70" s="15">
        <v>0.54330805100315238</v>
      </c>
      <c r="P70" s="15">
        <v>0</v>
      </c>
      <c r="Q70" s="15">
        <v>1.5377595849248464</v>
      </c>
      <c r="R70" s="15">
        <v>1.696666633814923</v>
      </c>
    </row>
    <row r="71" spans="1:18" ht="18">
      <c r="A71" s="85"/>
      <c r="B71" s="85"/>
      <c r="C71" s="85"/>
      <c r="D71" s="15">
        <f>(D47-N47)/N47*100</f>
        <v>7.9837696351990131</v>
      </c>
      <c r="E71" s="15">
        <f>(E47-O47)/O47*100</f>
        <v>0</v>
      </c>
      <c r="F71" s="15">
        <f>(F47-P47)/P47*100</f>
        <v>0</v>
      </c>
      <c r="G71" s="15">
        <f>(G47-Q47)/Q47*100</f>
        <v>0</v>
      </c>
      <c r="H71" s="15">
        <f>(H47-R47)/R47*100</f>
        <v>6.0909094801074941</v>
      </c>
      <c r="K71" s="85"/>
      <c r="L71" s="85"/>
      <c r="M71" s="85"/>
      <c r="N71" s="15">
        <v>7.9837696351990131</v>
      </c>
      <c r="O71" s="15">
        <v>0</v>
      </c>
      <c r="P71" s="15">
        <v>0</v>
      </c>
      <c r="Q71" s="15">
        <v>0</v>
      </c>
      <c r="R71" s="15">
        <v>6.0909094801074941</v>
      </c>
    </row>
    <row r="72" spans="1:18" ht="18">
      <c r="A72" s="85"/>
      <c r="B72" s="85"/>
      <c r="C72" s="85"/>
      <c r="D72" s="15">
        <f>(D48-N48)/N48*100</f>
        <v>0</v>
      </c>
      <c r="E72" s="15">
        <f>(E48-O48)/O48*100</f>
        <v>8.4669251068098514</v>
      </c>
      <c r="F72" s="15">
        <f>(F48-P48)/P48*100</f>
        <v>0</v>
      </c>
      <c r="G72" s="15">
        <f>(G48-Q48)/Q48*100</f>
        <v>10.019678501306638</v>
      </c>
      <c r="H72" s="15">
        <f>(H48-R48)/R48*100</f>
        <v>0</v>
      </c>
      <c r="K72" s="85"/>
      <c r="L72" s="85"/>
      <c r="M72" s="85"/>
      <c r="N72" s="15">
        <v>0</v>
      </c>
      <c r="O72" s="15">
        <v>8.4669251068098514</v>
      </c>
      <c r="P72" s="15">
        <v>0</v>
      </c>
      <c r="Q72" s="15">
        <v>10.019678501306638</v>
      </c>
      <c r="R72" s="15">
        <v>0</v>
      </c>
    </row>
    <row r="73" spans="1:18" ht="18">
      <c r="A73" s="80"/>
      <c r="B73" s="80"/>
      <c r="C73" s="80"/>
      <c r="D73" s="81"/>
      <c r="E73" s="81"/>
      <c r="F73" s="81"/>
      <c r="G73" s="81"/>
      <c r="H73" s="81"/>
    </row>
    <row r="74" spans="1:18" ht="18">
      <c r="A74" s="80"/>
      <c r="B74" s="80"/>
      <c r="C74" s="80"/>
      <c r="D74" s="81"/>
      <c r="E74" s="81"/>
      <c r="F74" s="81"/>
      <c r="G74" s="81"/>
      <c r="H74" s="81"/>
    </row>
    <row r="75" spans="1:18" ht="18">
      <c r="A75" s="80"/>
      <c r="B75" s="80"/>
      <c r="C75" s="80"/>
      <c r="D75" s="81"/>
      <c r="E75" s="81"/>
      <c r="F75" s="81"/>
      <c r="G75" s="81"/>
      <c r="H75" s="81"/>
    </row>
    <row r="76" spans="1:18" ht="22" customHeight="1">
      <c r="A76" s="121" t="s">
        <v>91</v>
      </c>
      <c r="B76" s="121"/>
      <c r="C76" s="121"/>
      <c r="D76" s="121"/>
      <c r="E76" s="121"/>
      <c r="F76" s="121"/>
      <c r="G76" s="121"/>
      <c r="H76" s="121"/>
      <c r="N76" s="81"/>
    </row>
    <row r="77" spans="1:18" ht="23" customHeight="1">
      <c r="A77" s="13" t="s">
        <v>44</v>
      </c>
      <c r="B77" s="13" t="s">
        <v>7</v>
      </c>
      <c r="C77" s="13" t="s">
        <v>11</v>
      </c>
      <c r="D77" s="13" t="s">
        <v>73</v>
      </c>
      <c r="E77" s="13" t="s">
        <v>74</v>
      </c>
      <c r="F77" s="13" t="s">
        <v>72</v>
      </c>
      <c r="G77" s="13" t="s">
        <v>75</v>
      </c>
      <c r="H77" s="13" t="s">
        <v>76</v>
      </c>
      <c r="N77" s="81"/>
    </row>
    <row r="78" spans="1:18" ht="18">
      <c r="A78" s="85">
        <v>600</v>
      </c>
      <c r="B78" s="85" t="s">
        <v>8</v>
      </c>
      <c r="C78" s="85">
        <v>3</v>
      </c>
      <c r="D78" s="15">
        <v>9.9867354527353402</v>
      </c>
      <c r="E78" s="15">
        <v>4.7571069764281253</v>
      </c>
      <c r="F78" s="15">
        <v>0</v>
      </c>
      <c r="G78" s="15">
        <v>5.8377101458041407</v>
      </c>
      <c r="H78" s="15">
        <v>7.5389231940190315</v>
      </c>
      <c r="N78" s="81"/>
    </row>
    <row r="79" spans="1:18" ht="18">
      <c r="A79" s="85"/>
      <c r="B79" s="85"/>
      <c r="C79" s="85"/>
      <c r="D79" s="15">
        <v>10.8402925350948</v>
      </c>
      <c r="E79" s="15">
        <v>0</v>
      </c>
      <c r="F79" s="15">
        <v>0</v>
      </c>
      <c r="G79" s="15">
        <v>0</v>
      </c>
      <c r="H79" s="15">
        <v>8.9676878174140739</v>
      </c>
      <c r="N79" s="81"/>
    </row>
    <row r="80" spans="1:18" ht="18">
      <c r="A80" s="85"/>
      <c r="B80" s="85"/>
      <c r="C80" s="85"/>
      <c r="D80" s="15">
        <v>19.546587775791934</v>
      </c>
      <c r="E80" s="15">
        <v>0</v>
      </c>
      <c r="F80" s="15">
        <v>0</v>
      </c>
      <c r="G80" s="15">
        <v>0</v>
      </c>
      <c r="H80" s="15">
        <v>15.854192911424558</v>
      </c>
      <c r="N80" s="81"/>
    </row>
    <row r="81" spans="1:14" ht="18">
      <c r="A81" s="85"/>
      <c r="B81" s="85"/>
      <c r="C81" s="85"/>
      <c r="D81" s="15">
        <v>7.3211675988624796</v>
      </c>
      <c r="E81" s="15">
        <v>5.9454259358083386</v>
      </c>
      <c r="F81" s="15">
        <v>0</v>
      </c>
      <c r="G81" s="15">
        <v>7.0106959056700209</v>
      </c>
      <c r="H81" s="15">
        <v>5.8259136589174654</v>
      </c>
      <c r="N81" s="81"/>
    </row>
    <row r="82" spans="1:14" ht="18">
      <c r="A82" s="85"/>
      <c r="B82" s="85"/>
      <c r="C82" s="85"/>
      <c r="D82" s="15">
        <v>12.654500218704001</v>
      </c>
      <c r="E82" s="15">
        <v>0</v>
      </c>
      <c r="F82" s="15">
        <v>0</v>
      </c>
      <c r="G82" s="15">
        <v>0</v>
      </c>
      <c r="H82" s="15">
        <v>10.319980189275407</v>
      </c>
      <c r="N82" s="81"/>
    </row>
    <row r="83" spans="1:14" ht="18">
      <c r="A83" s="85"/>
      <c r="B83" s="85"/>
      <c r="C83" s="85">
        <v>4</v>
      </c>
      <c r="D83" s="15">
        <v>0</v>
      </c>
      <c r="E83" s="15">
        <v>10.805626094891119</v>
      </c>
      <c r="F83" s="15">
        <v>0</v>
      </c>
      <c r="G83" s="15">
        <v>12.654451657749169</v>
      </c>
      <c r="H83" s="15">
        <v>0</v>
      </c>
      <c r="N83" s="81"/>
    </row>
    <row r="84" spans="1:14" ht="18">
      <c r="A84" s="85"/>
      <c r="B84" s="85"/>
      <c r="C84" s="85"/>
      <c r="D84" s="15">
        <v>7.3565931334321224</v>
      </c>
      <c r="E84" s="15">
        <v>3.2626426112560121</v>
      </c>
      <c r="F84" s="15">
        <v>0</v>
      </c>
      <c r="G84" s="15">
        <v>4.3738885725747423</v>
      </c>
      <c r="H84" s="15">
        <v>5.8737651739133279</v>
      </c>
      <c r="N84" s="81"/>
    </row>
    <row r="85" spans="1:14" ht="18">
      <c r="A85" s="85"/>
      <c r="B85" s="85"/>
      <c r="C85" s="85"/>
      <c r="D85" s="15">
        <v>0.77862082287708323</v>
      </c>
      <c r="E85" s="15">
        <v>7.3401191678413982</v>
      </c>
      <c r="F85" s="15">
        <v>0</v>
      </c>
      <c r="G85" s="15">
        <v>9.7582329342130265</v>
      </c>
      <c r="H85" s="15">
        <v>0</v>
      </c>
      <c r="N85" s="81"/>
    </row>
    <row r="86" spans="1:14" ht="18">
      <c r="A86" s="85"/>
      <c r="B86" s="85"/>
      <c r="C86" s="85"/>
      <c r="D86" s="15">
        <v>3.2337169711570404</v>
      </c>
      <c r="E86" s="15">
        <v>5.2543784232061919</v>
      </c>
      <c r="F86" s="15">
        <v>0</v>
      </c>
      <c r="G86" s="15">
        <v>6.606992358148954</v>
      </c>
      <c r="H86" s="15">
        <v>1.876170592697525</v>
      </c>
      <c r="N86" s="19"/>
    </row>
    <row r="87" spans="1:14" ht="18">
      <c r="A87" s="85"/>
      <c r="B87" s="85"/>
      <c r="C87" s="85"/>
      <c r="D87" s="15">
        <v>0.13156961393461386</v>
      </c>
      <c r="E87" s="15">
        <v>14.164819918512892</v>
      </c>
      <c r="F87" s="15">
        <v>0</v>
      </c>
      <c r="G87" s="15">
        <v>16.727084550218088</v>
      </c>
      <c r="H87" s="15">
        <v>0</v>
      </c>
    </row>
    <row r="88" spans="1:14" ht="18">
      <c r="A88" s="85"/>
      <c r="B88" s="85" t="s">
        <v>9</v>
      </c>
      <c r="C88" s="85">
        <v>3</v>
      </c>
      <c r="D88" s="15">
        <v>1.3670530414479547</v>
      </c>
      <c r="E88" s="15">
        <v>7.925988333081742</v>
      </c>
      <c r="F88" s="15">
        <v>0</v>
      </c>
      <c r="G88" s="15">
        <v>9.5104094837966784</v>
      </c>
      <c r="H88" s="15">
        <v>0.82840146182234164</v>
      </c>
    </row>
    <row r="89" spans="1:14" ht="18">
      <c r="A89" s="85"/>
      <c r="B89" s="85"/>
      <c r="C89" s="85"/>
      <c r="D89" s="15">
        <v>6.6514485925493414</v>
      </c>
      <c r="E89" s="15">
        <v>3.4488642873968316</v>
      </c>
      <c r="F89" s="15">
        <v>0</v>
      </c>
      <c r="G89" s="15">
        <v>4.6825681254064939</v>
      </c>
      <c r="H89" s="15">
        <v>5.0167446508563005</v>
      </c>
    </row>
    <row r="90" spans="1:14" ht="18">
      <c r="A90" s="85"/>
      <c r="B90" s="85"/>
      <c r="C90" s="85"/>
      <c r="D90" s="15">
        <v>1.0843317234570609</v>
      </c>
      <c r="E90" s="15">
        <v>5.5161117972164453</v>
      </c>
      <c r="F90" s="15">
        <v>0</v>
      </c>
      <c r="G90" s="15">
        <v>6.8399818105522456</v>
      </c>
      <c r="H90" s="15">
        <v>0.70107206220420126</v>
      </c>
    </row>
    <row r="91" spans="1:14" ht="18">
      <c r="A91" s="85"/>
      <c r="B91" s="85"/>
      <c r="C91" s="85"/>
      <c r="D91" s="15">
        <v>9.2957840976369592</v>
      </c>
      <c r="E91" s="15">
        <v>0.8192527269623292</v>
      </c>
      <c r="F91" s="15">
        <v>0</v>
      </c>
      <c r="G91" s="15">
        <v>1.1999565675021671</v>
      </c>
      <c r="H91" s="15">
        <v>6.5961634578789248</v>
      </c>
    </row>
    <row r="92" spans="1:14" ht="18">
      <c r="A92" s="85"/>
      <c r="B92" s="85"/>
      <c r="C92" s="85"/>
      <c r="D92" s="15">
        <v>5.8348494455939059</v>
      </c>
      <c r="E92" s="15">
        <v>0</v>
      </c>
      <c r="F92" s="15">
        <v>0</v>
      </c>
      <c r="G92" s="15">
        <v>0</v>
      </c>
      <c r="H92" s="15">
        <v>4.4530789267285735</v>
      </c>
    </row>
    <row r="93" spans="1:14" ht="18">
      <c r="A93" s="85"/>
      <c r="B93" s="85"/>
      <c r="C93" s="85">
        <v>4</v>
      </c>
      <c r="D93" s="15">
        <v>8.032130971025838</v>
      </c>
      <c r="E93" s="15">
        <v>0</v>
      </c>
      <c r="F93" s="15">
        <v>0</v>
      </c>
      <c r="G93" s="15">
        <v>0</v>
      </c>
      <c r="H93" s="15">
        <v>5.6282260003323925</v>
      </c>
    </row>
    <row r="94" spans="1:14" ht="18">
      <c r="A94" s="85"/>
      <c r="B94" s="85"/>
      <c r="C94" s="85"/>
      <c r="D94" s="15">
        <v>5.133772879396445</v>
      </c>
      <c r="E94" s="15">
        <v>4.8791225791480421</v>
      </c>
      <c r="F94" s="15">
        <v>0</v>
      </c>
      <c r="G94" s="15">
        <v>6.1374421826697274</v>
      </c>
      <c r="H94" s="15">
        <v>3.6639993874191319</v>
      </c>
    </row>
    <row r="95" spans="1:14" ht="18">
      <c r="A95" s="85"/>
      <c r="B95" s="85"/>
      <c r="C95" s="85"/>
      <c r="D95" s="15">
        <v>2.1964173602806425</v>
      </c>
      <c r="E95" s="15">
        <v>0.54330805100315238</v>
      </c>
      <c r="F95" s="15">
        <v>0</v>
      </c>
      <c r="G95" s="15">
        <v>1.5377595849248464</v>
      </c>
      <c r="H95" s="15">
        <v>1.696666633814923</v>
      </c>
    </row>
    <row r="96" spans="1:14" ht="18">
      <c r="A96" s="85"/>
      <c r="B96" s="85"/>
      <c r="C96" s="85"/>
      <c r="D96" s="15">
        <v>7.9837696351990131</v>
      </c>
      <c r="E96" s="15">
        <v>0</v>
      </c>
      <c r="F96" s="15">
        <v>0</v>
      </c>
      <c r="G96" s="15">
        <v>0</v>
      </c>
      <c r="H96" s="15">
        <v>6.0909094801074941</v>
      </c>
    </row>
    <row r="97" spans="1:18" ht="21" customHeight="1">
      <c r="A97" s="85"/>
      <c r="B97" s="85"/>
      <c r="C97" s="85"/>
      <c r="D97" s="15">
        <v>0</v>
      </c>
      <c r="E97" s="15">
        <v>8.4669251068098514</v>
      </c>
      <c r="F97" s="15">
        <v>0</v>
      </c>
      <c r="G97" s="15">
        <v>10.019678501306638</v>
      </c>
      <c r="H97" s="15">
        <v>0</v>
      </c>
    </row>
    <row r="98" spans="1:18" ht="18">
      <c r="A98" s="80"/>
      <c r="B98" s="80"/>
      <c r="C98" s="80"/>
      <c r="D98" s="81"/>
      <c r="E98" s="81"/>
      <c r="F98" s="81"/>
      <c r="G98" s="81"/>
      <c r="H98" s="81"/>
    </row>
    <row r="99" spans="1:18" ht="18">
      <c r="A99" s="80"/>
      <c r="B99" s="80"/>
      <c r="C99" s="80"/>
      <c r="D99" s="81"/>
      <c r="E99" s="81"/>
      <c r="F99" s="81"/>
      <c r="G99" s="81"/>
      <c r="H99" s="81"/>
    </row>
    <row r="100" spans="1:18" ht="18">
      <c r="A100" s="80"/>
      <c r="B100" s="80"/>
      <c r="C100" s="80"/>
      <c r="D100" s="81"/>
      <c r="E100" s="81"/>
      <c r="F100" s="81"/>
      <c r="G100" s="81"/>
      <c r="H100" s="81"/>
    </row>
    <row r="105" spans="1:18" ht="24" customHeight="1">
      <c r="A105" s="123" t="s">
        <v>97</v>
      </c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</row>
    <row r="106" spans="1:18" ht="22" customHeight="1">
      <c r="A106" s="122" t="s">
        <v>94</v>
      </c>
      <c r="B106" s="122"/>
      <c r="C106" s="122"/>
      <c r="D106" s="122"/>
      <c r="E106" s="122"/>
      <c r="F106" s="122"/>
      <c r="G106" s="122"/>
      <c r="H106" s="122"/>
      <c r="K106" s="122" t="s">
        <v>95</v>
      </c>
      <c r="L106" s="122"/>
      <c r="M106" s="122"/>
      <c r="N106" s="122"/>
      <c r="O106" s="122"/>
      <c r="P106" s="122"/>
      <c r="Q106" s="122"/>
      <c r="R106" s="122"/>
    </row>
    <row r="107" spans="1:18" ht="18">
      <c r="A107" s="13" t="s">
        <v>51</v>
      </c>
      <c r="B107" s="13" t="s">
        <v>7</v>
      </c>
      <c r="C107" s="13" t="s">
        <v>11</v>
      </c>
      <c r="D107" s="13" t="s">
        <v>46</v>
      </c>
      <c r="E107" s="13" t="s">
        <v>47</v>
      </c>
      <c r="F107" s="13" t="s">
        <v>50</v>
      </c>
      <c r="G107" s="13" t="s">
        <v>48</v>
      </c>
      <c r="H107" s="13" t="s">
        <v>49</v>
      </c>
      <c r="K107" s="13" t="s">
        <v>51</v>
      </c>
      <c r="L107" s="13" t="s">
        <v>7</v>
      </c>
      <c r="M107" s="13" t="s">
        <v>11</v>
      </c>
      <c r="N107" s="13" t="s">
        <v>46</v>
      </c>
      <c r="O107" s="13" t="s">
        <v>47</v>
      </c>
      <c r="P107" s="13" t="s">
        <v>50</v>
      </c>
      <c r="Q107" s="13" t="s">
        <v>48</v>
      </c>
      <c r="R107" s="13" t="s">
        <v>49</v>
      </c>
    </row>
    <row r="108" spans="1:18" ht="18">
      <c r="A108" s="86">
        <v>54</v>
      </c>
      <c r="B108" s="86" t="s">
        <v>8</v>
      </c>
      <c r="C108" s="86">
        <v>3</v>
      </c>
      <c r="D108" s="15">
        <v>81531.05</v>
      </c>
      <c r="E108" s="15">
        <v>43054.83</v>
      </c>
      <c r="F108" s="67">
        <v>29400.55</v>
      </c>
      <c r="G108" s="15">
        <v>22582.05</v>
      </c>
      <c r="H108" s="15">
        <v>18561.400000000001</v>
      </c>
      <c r="K108" s="86">
        <v>54</v>
      </c>
      <c r="L108" s="86" t="s">
        <v>8</v>
      </c>
      <c r="M108" s="86">
        <v>3</v>
      </c>
      <c r="N108" s="15">
        <v>78077.8</v>
      </c>
      <c r="O108" s="15">
        <v>42879.21</v>
      </c>
      <c r="P108" s="67">
        <v>29400.55</v>
      </c>
      <c r="Q108" s="15">
        <v>22582.05</v>
      </c>
      <c r="R108" s="15">
        <v>18561.400000000001</v>
      </c>
    </row>
    <row r="109" spans="1:18" ht="22" customHeight="1">
      <c r="A109" s="87"/>
      <c r="B109" s="87"/>
      <c r="C109" s="87"/>
      <c r="D109" s="15">
        <v>83708.009999999995</v>
      </c>
      <c r="E109" s="15">
        <v>39749.57</v>
      </c>
      <c r="F109" s="67">
        <v>26849.56</v>
      </c>
      <c r="G109" s="15">
        <v>20699.86</v>
      </c>
      <c r="H109" s="15">
        <v>17122.98</v>
      </c>
      <c r="K109" s="87"/>
      <c r="L109" s="87"/>
      <c r="M109" s="87"/>
      <c r="N109" s="15">
        <v>78809.490000000005</v>
      </c>
      <c r="O109" s="15">
        <v>39606.379999999997</v>
      </c>
      <c r="P109" s="67">
        <v>26849.56</v>
      </c>
      <c r="Q109" s="15">
        <v>20699.86</v>
      </c>
      <c r="R109" s="15">
        <v>17122.98</v>
      </c>
    </row>
    <row r="110" spans="1:18" ht="23" customHeight="1">
      <c r="A110" s="87"/>
      <c r="B110" s="87"/>
      <c r="C110" s="87"/>
      <c r="D110" s="15">
        <v>161692.23000000001</v>
      </c>
      <c r="E110" s="15">
        <v>58431.75</v>
      </c>
      <c r="F110" s="67">
        <v>35931.17</v>
      </c>
      <c r="G110" s="15">
        <v>26305.09</v>
      </c>
      <c r="H110" s="15">
        <v>21045.19</v>
      </c>
      <c r="K110" s="87"/>
      <c r="L110" s="87"/>
      <c r="M110" s="87"/>
      <c r="N110" s="15">
        <v>149301.57999999999</v>
      </c>
      <c r="O110" s="15">
        <v>58431.75</v>
      </c>
      <c r="P110" s="67">
        <v>35931.17</v>
      </c>
      <c r="Q110" s="15">
        <v>26305.09</v>
      </c>
      <c r="R110" s="15">
        <v>21045.19</v>
      </c>
    </row>
    <row r="111" spans="1:18" ht="18">
      <c r="A111" s="87"/>
      <c r="B111" s="87"/>
      <c r="C111" s="87"/>
      <c r="D111" s="15">
        <v>177202.52</v>
      </c>
      <c r="E111" s="15">
        <v>74155.789999999994</v>
      </c>
      <c r="F111" s="67">
        <v>45890.71</v>
      </c>
      <c r="G111" s="15">
        <v>33330.94</v>
      </c>
      <c r="H111" s="15">
        <v>26426.92</v>
      </c>
      <c r="K111" s="87"/>
      <c r="L111" s="87"/>
      <c r="M111" s="87"/>
      <c r="N111" s="15">
        <v>175089</v>
      </c>
      <c r="O111" s="15">
        <v>74155.789999999994</v>
      </c>
      <c r="P111" s="67">
        <v>45890.71</v>
      </c>
      <c r="Q111" s="15">
        <v>33330.94</v>
      </c>
      <c r="R111" s="15">
        <v>26426.92</v>
      </c>
    </row>
    <row r="112" spans="1:18" ht="18">
      <c r="A112" s="87"/>
      <c r="B112" s="87"/>
      <c r="C112" s="88"/>
      <c r="D112" s="15">
        <v>64846.13</v>
      </c>
      <c r="E112" s="15">
        <v>35180.160000000003</v>
      </c>
      <c r="F112" s="67">
        <v>24457.73</v>
      </c>
      <c r="G112" s="15">
        <v>19051.61</v>
      </c>
      <c r="H112" s="15">
        <v>15836.15</v>
      </c>
      <c r="K112" s="87"/>
      <c r="L112" s="87"/>
      <c r="M112" s="88"/>
      <c r="N112" s="15">
        <v>62272.51</v>
      </c>
      <c r="O112" s="15">
        <v>34920.71</v>
      </c>
      <c r="P112" s="67">
        <v>24457.73</v>
      </c>
      <c r="Q112" s="15">
        <v>19051.61</v>
      </c>
      <c r="R112" s="15">
        <v>15836.15</v>
      </c>
    </row>
    <row r="113" spans="1:18" ht="18">
      <c r="A113" s="87"/>
      <c r="B113" s="87"/>
      <c r="C113" s="86">
        <v>4</v>
      </c>
      <c r="D113" s="15">
        <v>15881.68</v>
      </c>
      <c r="E113" s="15">
        <v>12213.81</v>
      </c>
      <c r="F113" s="67">
        <v>10237.34</v>
      </c>
      <c r="G113" s="15">
        <v>8994.61</v>
      </c>
      <c r="H113" s="15">
        <v>8139.56</v>
      </c>
      <c r="K113" s="87"/>
      <c r="L113" s="87"/>
      <c r="M113" s="86">
        <v>4</v>
      </c>
      <c r="N113" s="15">
        <v>15881.68</v>
      </c>
      <c r="O113" s="15">
        <v>12213.81</v>
      </c>
      <c r="P113" s="67">
        <v>10237.34</v>
      </c>
      <c r="Q113" s="15">
        <v>8987.93</v>
      </c>
      <c r="R113" s="15">
        <v>8119.11</v>
      </c>
    </row>
    <row r="114" spans="1:18" ht="18">
      <c r="A114" s="87"/>
      <c r="B114" s="87"/>
      <c r="C114" s="87"/>
      <c r="D114" s="15">
        <v>30566.99</v>
      </c>
      <c r="E114" s="15">
        <v>18999.64</v>
      </c>
      <c r="F114" s="67">
        <v>14838.71</v>
      </c>
      <c r="G114" s="15">
        <v>12565.39</v>
      </c>
      <c r="H114" s="15">
        <v>11109.81</v>
      </c>
      <c r="K114" s="87"/>
      <c r="L114" s="87"/>
      <c r="M114" s="87"/>
      <c r="N114" s="15">
        <v>28827.22</v>
      </c>
      <c r="O114" s="15">
        <v>18855.63</v>
      </c>
      <c r="P114" s="67">
        <v>14838.71</v>
      </c>
      <c r="Q114" s="15">
        <v>12565.39</v>
      </c>
      <c r="R114" s="15">
        <v>11109.81</v>
      </c>
    </row>
    <row r="115" spans="1:18" ht="18">
      <c r="A115" s="87"/>
      <c r="B115" s="87"/>
      <c r="C115" s="87"/>
      <c r="D115" s="15">
        <v>48197.69</v>
      </c>
      <c r="E115" s="15">
        <v>27799.5</v>
      </c>
      <c r="F115" s="67">
        <v>20464.03</v>
      </c>
      <c r="G115" s="15">
        <v>16585.13</v>
      </c>
      <c r="H115" s="15">
        <v>14185.82</v>
      </c>
      <c r="K115" s="87"/>
      <c r="L115" s="87"/>
      <c r="M115" s="87"/>
      <c r="N115" s="15">
        <v>47758.87</v>
      </c>
      <c r="O115" s="15">
        <v>27795.58</v>
      </c>
      <c r="P115" s="67">
        <v>20464.03</v>
      </c>
      <c r="Q115" s="15">
        <v>16585.13</v>
      </c>
      <c r="R115" s="15">
        <v>14185.82</v>
      </c>
    </row>
    <row r="116" spans="1:18" ht="18">
      <c r="A116" s="87"/>
      <c r="B116" s="87"/>
      <c r="C116" s="87"/>
      <c r="D116" s="15">
        <v>37886.71</v>
      </c>
      <c r="E116" s="15">
        <v>23147.1</v>
      </c>
      <c r="F116" s="67">
        <v>17350.88</v>
      </c>
      <c r="G116" s="15">
        <v>14224.45</v>
      </c>
      <c r="H116" s="15">
        <v>12269.22</v>
      </c>
      <c r="K116" s="87"/>
      <c r="L116" s="87"/>
      <c r="M116" s="87"/>
      <c r="N116" s="15">
        <v>37886.71</v>
      </c>
      <c r="O116" s="15">
        <v>23147.1</v>
      </c>
      <c r="P116" s="67">
        <v>17350.88</v>
      </c>
      <c r="Q116" s="15">
        <v>14224.45</v>
      </c>
      <c r="R116" s="15">
        <v>12269.22</v>
      </c>
    </row>
    <row r="117" spans="1:18" ht="18">
      <c r="A117" s="87"/>
      <c r="B117" s="88"/>
      <c r="C117" s="88"/>
      <c r="D117" s="15">
        <v>36406.370000000003</v>
      </c>
      <c r="E117" s="15">
        <v>22672.89</v>
      </c>
      <c r="F117" s="67">
        <v>17429.439999999999</v>
      </c>
      <c r="G117" s="15">
        <v>14503.52</v>
      </c>
      <c r="H117" s="15">
        <v>12625.15</v>
      </c>
      <c r="K117" s="87"/>
      <c r="L117" s="88"/>
      <c r="M117" s="88"/>
      <c r="N117" s="15">
        <v>36406.370000000003</v>
      </c>
      <c r="O117" s="15">
        <v>22672.89</v>
      </c>
      <c r="P117" s="67">
        <v>17429.439999999999</v>
      </c>
      <c r="Q117" s="15">
        <v>14447.49</v>
      </c>
      <c r="R117" s="15">
        <v>12549.52</v>
      </c>
    </row>
    <row r="118" spans="1:18" ht="18">
      <c r="A118" s="87"/>
      <c r="B118" s="86" t="s">
        <v>9</v>
      </c>
      <c r="C118" s="86">
        <v>3</v>
      </c>
      <c r="D118" s="15">
        <v>81427.7</v>
      </c>
      <c r="E118" s="15">
        <v>45232.01</v>
      </c>
      <c r="F118" s="67">
        <v>32536.11</v>
      </c>
      <c r="G118" s="15">
        <v>26011.75</v>
      </c>
      <c r="H118" s="15">
        <v>22061.78</v>
      </c>
      <c r="K118" s="87"/>
      <c r="L118" s="86" t="s">
        <v>9</v>
      </c>
      <c r="M118" s="86">
        <v>3</v>
      </c>
      <c r="N118" s="15">
        <v>81214.179999999993</v>
      </c>
      <c r="O118" s="15">
        <v>45232.01</v>
      </c>
      <c r="P118" s="67">
        <v>32536.11</v>
      </c>
      <c r="Q118" s="15">
        <v>26011.75</v>
      </c>
      <c r="R118" s="15">
        <v>22061.78</v>
      </c>
    </row>
    <row r="119" spans="1:18" ht="18">
      <c r="A119" s="87"/>
      <c r="B119" s="87"/>
      <c r="C119" s="87"/>
      <c r="D119" s="15">
        <v>46551.71</v>
      </c>
      <c r="E119" s="15">
        <v>32298.13</v>
      </c>
      <c r="F119" s="67">
        <v>25424.55</v>
      </c>
      <c r="G119" s="15">
        <v>21389.85</v>
      </c>
      <c r="H119" s="15">
        <v>18747.259999999998</v>
      </c>
      <c r="K119" s="87"/>
      <c r="L119" s="87"/>
      <c r="M119" s="87"/>
      <c r="N119" s="15">
        <v>46551.71</v>
      </c>
      <c r="O119" s="15">
        <v>32298.13</v>
      </c>
      <c r="P119" s="67">
        <v>25424.55</v>
      </c>
      <c r="Q119" s="15">
        <v>21389.85</v>
      </c>
      <c r="R119" s="15">
        <v>18724.27</v>
      </c>
    </row>
    <row r="120" spans="1:18" ht="18">
      <c r="A120" s="87"/>
      <c r="B120" s="87"/>
      <c r="C120" s="87"/>
      <c r="D120" s="15">
        <v>74063.83</v>
      </c>
      <c r="E120" s="15">
        <v>39835.599999999999</v>
      </c>
      <c r="F120" s="67">
        <v>28942.86</v>
      </c>
      <c r="G120" s="15">
        <v>23422.6</v>
      </c>
      <c r="H120" s="15">
        <v>20075.02</v>
      </c>
      <c r="K120" s="87"/>
      <c r="L120" s="87"/>
      <c r="M120" s="87"/>
      <c r="N120" s="15">
        <v>69859.47</v>
      </c>
      <c r="O120" s="15">
        <v>39689.230000000003</v>
      </c>
      <c r="P120" s="67">
        <v>28942.86</v>
      </c>
      <c r="Q120" s="15">
        <v>23422.6</v>
      </c>
      <c r="R120" s="15">
        <v>20075.02</v>
      </c>
    </row>
    <row r="121" spans="1:18" ht="18">
      <c r="A121" s="87"/>
      <c r="B121" s="87"/>
      <c r="C121" s="87"/>
      <c r="D121" s="15">
        <v>129986.26</v>
      </c>
      <c r="E121" s="15">
        <v>68702.559999999998</v>
      </c>
      <c r="F121" s="67">
        <v>48175.44</v>
      </c>
      <c r="G121" s="15">
        <v>37764.61</v>
      </c>
      <c r="H121" s="15">
        <v>31521.200000000001</v>
      </c>
      <c r="K121" s="87"/>
      <c r="L121" s="87"/>
      <c r="M121" s="87"/>
      <c r="N121" s="15">
        <v>124508.03</v>
      </c>
      <c r="O121" s="15">
        <v>68702.559999999998</v>
      </c>
      <c r="P121" s="67">
        <v>48175.44</v>
      </c>
      <c r="Q121" s="15">
        <v>37730.050000000003</v>
      </c>
      <c r="R121" s="15">
        <v>31465.040000000001</v>
      </c>
    </row>
    <row r="122" spans="1:18" ht="18">
      <c r="A122" s="87"/>
      <c r="B122" s="87"/>
      <c r="C122" s="88"/>
      <c r="D122" s="15">
        <v>109962.96</v>
      </c>
      <c r="E122" s="15">
        <v>53640.12</v>
      </c>
      <c r="F122" s="67">
        <v>36646.9</v>
      </c>
      <c r="G122" s="15">
        <v>28527.02</v>
      </c>
      <c r="H122" s="15">
        <v>23805.66</v>
      </c>
      <c r="K122" s="87"/>
      <c r="L122" s="87"/>
      <c r="M122" s="88"/>
      <c r="N122" s="15">
        <v>109962.96</v>
      </c>
      <c r="O122" s="15">
        <v>53640.12</v>
      </c>
      <c r="P122" s="67">
        <v>36646.9</v>
      </c>
      <c r="Q122" s="15">
        <v>28527.02</v>
      </c>
      <c r="R122" s="15">
        <v>23805.66</v>
      </c>
    </row>
    <row r="123" spans="1:18" ht="18">
      <c r="A123" s="87"/>
      <c r="B123" s="87"/>
      <c r="C123" s="86">
        <v>4</v>
      </c>
      <c r="D123" s="15">
        <v>20189.150000000001</v>
      </c>
      <c r="E123" s="15">
        <v>15633.19</v>
      </c>
      <c r="F123" s="67">
        <v>13187.24</v>
      </c>
      <c r="G123" s="15">
        <v>11641.17</v>
      </c>
      <c r="H123" s="15">
        <v>10571.4</v>
      </c>
      <c r="K123" s="87"/>
      <c r="L123" s="87"/>
      <c r="M123" s="86">
        <v>4</v>
      </c>
      <c r="N123" s="15">
        <v>20189.150000000001</v>
      </c>
      <c r="O123" s="15">
        <v>15633.19</v>
      </c>
      <c r="P123" s="67">
        <v>13187.24</v>
      </c>
      <c r="Q123" s="15">
        <v>11641.17</v>
      </c>
      <c r="R123" s="15">
        <v>10569.23</v>
      </c>
    </row>
    <row r="124" spans="1:18" ht="18">
      <c r="A124" s="87"/>
      <c r="B124" s="87"/>
      <c r="C124" s="87"/>
      <c r="D124" s="15">
        <v>35775.800000000003</v>
      </c>
      <c r="E124" s="15">
        <v>24685.56</v>
      </c>
      <c r="F124" s="67">
        <v>19578.7</v>
      </c>
      <c r="G124" s="15">
        <v>16629.34</v>
      </c>
      <c r="H124" s="15">
        <v>14708.22</v>
      </c>
      <c r="K124" s="87"/>
      <c r="L124" s="87"/>
      <c r="M124" s="87"/>
      <c r="N124" s="15">
        <v>35337.279999999999</v>
      </c>
      <c r="O124" s="15">
        <v>24646.35</v>
      </c>
      <c r="P124" s="67">
        <v>19578.7</v>
      </c>
      <c r="Q124" s="15">
        <v>16586.57</v>
      </c>
      <c r="R124" s="15">
        <v>14599.53</v>
      </c>
    </row>
    <row r="125" spans="1:18" ht="18">
      <c r="A125" s="87"/>
      <c r="B125" s="87"/>
      <c r="C125" s="87"/>
      <c r="D125" s="15">
        <v>74400.490000000005</v>
      </c>
      <c r="E125" s="15">
        <v>39567.4</v>
      </c>
      <c r="F125" s="67">
        <v>28538.06</v>
      </c>
      <c r="G125" s="15">
        <v>22960.93</v>
      </c>
      <c r="H125" s="15">
        <v>19593.419999999998</v>
      </c>
      <c r="K125" s="87"/>
      <c r="L125" s="87"/>
      <c r="M125" s="87"/>
      <c r="N125" s="15">
        <v>69748.820000000007</v>
      </c>
      <c r="O125" s="15">
        <v>39565.589999999997</v>
      </c>
      <c r="P125" s="67">
        <v>28538.06</v>
      </c>
      <c r="Q125" s="15">
        <v>22960.93</v>
      </c>
      <c r="R125" s="15">
        <v>19593.419999999998</v>
      </c>
    </row>
    <row r="126" spans="1:18" ht="18">
      <c r="A126" s="87"/>
      <c r="B126" s="87"/>
      <c r="C126" s="87"/>
      <c r="D126" s="15">
        <v>23510.17</v>
      </c>
      <c r="E126" s="15">
        <v>17911.75</v>
      </c>
      <c r="F126" s="67">
        <v>14947.64</v>
      </c>
      <c r="G126" s="15">
        <v>13103.39</v>
      </c>
      <c r="H126" s="15">
        <v>11843.05</v>
      </c>
      <c r="K126" s="87"/>
      <c r="L126" s="87"/>
      <c r="M126" s="87"/>
      <c r="N126" s="15">
        <v>22930.68</v>
      </c>
      <c r="O126" s="15">
        <v>17911.75</v>
      </c>
      <c r="P126" s="67">
        <v>14947.64</v>
      </c>
      <c r="Q126" s="15">
        <v>13103.39</v>
      </c>
      <c r="R126" s="15">
        <v>11843.05</v>
      </c>
    </row>
    <row r="127" spans="1:18" ht="18">
      <c r="A127" s="88"/>
      <c r="B127" s="88"/>
      <c r="C127" s="88"/>
      <c r="D127" s="15">
        <v>33262.379999999997</v>
      </c>
      <c r="E127" s="15">
        <v>22502.68</v>
      </c>
      <c r="F127" s="67">
        <v>17866.099999999999</v>
      </c>
      <c r="G127" s="15">
        <v>15218.59</v>
      </c>
      <c r="H127" s="15">
        <v>13497.22</v>
      </c>
      <c r="K127" s="88"/>
      <c r="L127" s="88"/>
      <c r="M127" s="88"/>
      <c r="N127" s="15">
        <v>32189.86</v>
      </c>
      <c r="O127" s="15">
        <v>22502.68</v>
      </c>
      <c r="P127" s="67">
        <v>17866.099999999999</v>
      </c>
      <c r="Q127" s="15">
        <v>15069.39</v>
      </c>
      <c r="R127" s="15">
        <v>13234.28</v>
      </c>
    </row>
    <row r="132" spans="1:8" ht="18">
      <c r="A132" s="121" t="s">
        <v>92</v>
      </c>
      <c r="B132" s="121"/>
      <c r="C132" s="121"/>
      <c r="D132" s="121"/>
      <c r="E132" s="121"/>
      <c r="F132" s="121"/>
      <c r="G132" s="121"/>
      <c r="H132" s="121"/>
    </row>
    <row r="133" spans="1:8" ht="18">
      <c r="A133" s="13" t="s">
        <v>51</v>
      </c>
      <c r="B133" s="13" t="s">
        <v>7</v>
      </c>
      <c r="C133" s="13" t="s">
        <v>11</v>
      </c>
      <c r="D133" s="13" t="s">
        <v>46</v>
      </c>
      <c r="E133" s="13" t="s">
        <v>47</v>
      </c>
      <c r="F133" s="13" t="s">
        <v>50</v>
      </c>
      <c r="G133" s="13" t="s">
        <v>48</v>
      </c>
      <c r="H133" s="13" t="s">
        <v>49</v>
      </c>
    </row>
    <row r="134" spans="1:8" ht="18">
      <c r="A134" s="85">
        <v>54</v>
      </c>
      <c r="B134" s="85" t="s">
        <v>8</v>
      </c>
      <c r="C134" s="85">
        <v>3</v>
      </c>
      <c r="D134" s="15">
        <f>(D108-N108)/N108*100</f>
        <v>4.4228320982404732</v>
      </c>
      <c r="E134" s="15">
        <f t="shared" ref="E134:H134" si="0">(E108-O108)/O108*100</f>
        <v>0.40956911286379249</v>
      </c>
      <c r="F134" s="67">
        <f t="shared" si="0"/>
        <v>0</v>
      </c>
      <c r="G134" s="15">
        <f t="shared" si="0"/>
        <v>0</v>
      </c>
      <c r="H134" s="15">
        <f t="shared" si="0"/>
        <v>0</v>
      </c>
    </row>
    <row r="135" spans="1:8" ht="18">
      <c r="A135" s="85"/>
      <c r="B135" s="85"/>
      <c r="C135" s="85"/>
      <c r="D135" s="15">
        <f t="shared" ref="D135:D138" si="1">(D109-N109)/N109*100</f>
        <v>6.2156473795224274</v>
      </c>
      <c r="E135" s="15">
        <f t="shared" ref="E135:E138" si="2">(E109-O109)/O109*100</f>
        <v>0.36153266216201113</v>
      </c>
      <c r="F135" s="67">
        <f t="shared" ref="F135:F138" si="3">(F109-P109)/P109*100</f>
        <v>0</v>
      </c>
      <c r="G135" s="15">
        <f t="shared" ref="G135:G138" si="4">(G109-Q109)/Q109*100</f>
        <v>0</v>
      </c>
      <c r="H135" s="15">
        <f t="shared" ref="H135:H138" si="5">(H109-R109)/R109*100</f>
        <v>0</v>
      </c>
    </row>
    <row r="136" spans="1:8" ht="18">
      <c r="A136" s="85"/>
      <c r="B136" s="85"/>
      <c r="C136" s="85"/>
      <c r="D136" s="15">
        <f t="shared" si="1"/>
        <v>8.299074932763622</v>
      </c>
      <c r="E136" s="15">
        <f t="shared" si="2"/>
        <v>0</v>
      </c>
      <c r="F136" s="67">
        <f t="shared" si="3"/>
        <v>0</v>
      </c>
      <c r="G136" s="15">
        <f t="shared" si="4"/>
        <v>0</v>
      </c>
      <c r="H136" s="15">
        <f t="shared" si="5"/>
        <v>0</v>
      </c>
    </row>
    <row r="137" spans="1:8" ht="18">
      <c r="A137" s="85"/>
      <c r="B137" s="85"/>
      <c r="C137" s="85"/>
      <c r="D137" s="15">
        <f t="shared" si="1"/>
        <v>1.2071118117071831</v>
      </c>
      <c r="E137" s="15">
        <f t="shared" si="2"/>
        <v>0</v>
      </c>
      <c r="F137" s="67">
        <f t="shared" si="3"/>
        <v>0</v>
      </c>
      <c r="G137" s="15">
        <f t="shared" si="4"/>
        <v>0</v>
      </c>
      <c r="H137" s="15">
        <f t="shared" si="5"/>
        <v>0</v>
      </c>
    </row>
    <row r="138" spans="1:8" ht="18">
      <c r="A138" s="85"/>
      <c r="B138" s="85"/>
      <c r="C138" s="85"/>
      <c r="D138" s="15">
        <f t="shared" si="1"/>
        <v>4.1328348576281817</v>
      </c>
      <c r="E138" s="15">
        <f t="shared" si="2"/>
        <v>0.74296885716242411</v>
      </c>
      <c r="F138" s="67">
        <f t="shared" si="3"/>
        <v>0</v>
      </c>
      <c r="G138" s="15">
        <f t="shared" si="4"/>
        <v>0</v>
      </c>
      <c r="H138" s="15">
        <f t="shared" si="5"/>
        <v>0</v>
      </c>
    </row>
    <row r="139" spans="1:8" ht="18">
      <c r="A139" s="85"/>
      <c r="B139" s="85"/>
      <c r="C139" s="28" t="s">
        <v>18</v>
      </c>
      <c r="D139" s="29">
        <f>AVERAGE(D134:D138)</f>
        <v>4.8555002159723779</v>
      </c>
      <c r="E139" s="29">
        <f>AVERAGE(E134:E138)</f>
        <v>0.30281412643764555</v>
      </c>
      <c r="F139" s="29">
        <f>AVERAGE(F134:F138)</f>
        <v>0</v>
      </c>
      <c r="G139" s="29">
        <f>AVERAGE(G134:G138)</f>
        <v>0</v>
      </c>
      <c r="H139" s="29">
        <f>AVERAGE(H134:H138)</f>
        <v>0</v>
      </c>
    </row>
    <row r="140" spans="1:8" ht="18">
      <c r="A140" s="85"/>
      <c r="B140" s="85"/>
      <c r="C140" s="85">
        <v>4</v>
      </c>
      <c r="D140" s="15">
        <f t="shared" ref="D140:H144" si="6">(D113-N113)/N113*100</f>
        <v>0</v>
      </c>
      <c r="E140" s="15">
        <f t="shared" si="6"/>
        <v>0</v>
      </c>
      <c r="F140" s="67">
        <f t="shared" si="6"/>
        <v>0</v>
      </c>
      <c r="G140" s="15">
        <f t="shared" si="6"/>
        <v>7.4321896142941601E-2</v>
      </c>
      <c r="H140" s="15">
        <f t="shared" si="6"/>
        <v>0.25187489761809767</v>
      </c>
    </row>
    <row r="141" spans="1:8" ht="18">
      <c r="A141" s="85"/>
      <c r="B141" s="85"/>
      <c r="C141" s="85"/>
      <c r="D141" s="15">
        <f t="shared" si="6"/>
        <v>6.0351639873702716</v>
      </c>
      <c r="E141" s="15">
        <f t="shared" si="6"/>
        <v>0.76375066757248833</v>
      </c>
      <c r="F141" s="67">
        <f t="shared" si="6"/>
        <v>0</v>
      </c>
      <c r="G141" s="15">
        <f t="shared" si="6"/>
        <v>0</v>
      </c>
      <c r="H141" s="15">
        <f t="shared" si="6"/>
        <v>0</v>
      </c>
    </row>
    <row r="142" spans="1:8" ht="18">
      <c r="A142" s="85"/>
      <c r="B142" s="85"/>
      <c r="C142" s="85"/>
      <c r="D142" s="15">
        <f t="shared" si="6"/>
        <v>0.91882408440568142</v>
      </c>
      <c r="E142" s="15">
        <f t="shared" si="6"/>
        <v>1.4102961693903323E-2</v>
      </c>
      <c r="F142" s="67">
        <f t="shared" si="6"/>
        <v>0</v>
      </c>
      <c r="G142" s="15">
        <f t="shared" si="6"/>
        <v>0</v>
      </c>
      <c r="H142" s="15">
        <f t="shared" si="6"/>
        <v>0</v>
      </c>
    </row>
    <row r="143" spans="1:8" ht="18">
      <c r="A143" s="85"/>
      <c r="B143" s="85"/>
      <c r="C143" s="85"/>
      <c r="D143" s="15">
        <f t="shared" si="6"/>
        <v>0</v>
      </c>
      <c r="E143" s="15">
        <f t="shared" si="6"/>
        <v>0</v>
      </c>
      <c r="F143" s="67">
        <f t="shared" si="6"/>
        <v>0</v>
      </c>
      <c r="G143" s="15">
        <f t="shared" si="6"/>
        <v>0</v>
      </c>
      <c r="H143" s="15">
        <f t="shared" si="6"/>
        <v>0</v>
      </c>
    </row>
    <row r="144" spans="1:8" ht="18">
      <c r="A144" s="85"/>
      <c r="B144" s="85"/>
      <c r="C144" s="85"/>
      <c r="D144" s="15">
        <f t="shared" si="6"/>
        <v>0</v>
      </c>
      <c r="E144" s="15">
        <f t="shared" si="6"/>
        <v>0</v>
      </c>
      <c r="F144" s="67">
        <f t="shared" si="6"/>
        <v>0</v>
      </c>
      <c r="G144" s="15">
        <f t="shared" si="6"/>
        <v>0.38781823001781385</v>
      </c>
      <c r="H144" s="15">
        <f t="shared" si="6"/>
        <v>0.60265253173029087</v>
      </c>
    </row>
    <row r="145" spans="1:8" ht="18">
      <c r="A145" s="85"/>
      <c r="B145" s="85"/>
      <c r="C145" s="28" t="s">
        <v>18</v>
      </c>
      <c r="D145" s="29">
        <f>AVERAGE(D140:D144)</f>
        <v>1.3907976143551906</v>
      </c>
      <c r="E145" s="29">
        <f>AVERAGE(E140:E144)</f>
        <v>0.15557072585327833</v>
      </c>
      <c r="F145" s="29">
        <f>AVERAGE(F140:F144)</f>
        <v>0</v>
      </c>
      <c r="G145" s="29">
        <f>AVERAGE(G140:G144)</f>
        <v>9.2428025232151087E-2</v>
      </c>
      <c r="H145" s="29">
        <f>AVERAGE(H140:H144)</f>
        <v>0.17090548586967771</v>
      </c>
    </row>
    <row r="146" spans="1:8" ht="18">
      <c r="A146" s="85"/>
      <c r="B146" s="85" t="s">
        <v>9</v>
      </c>
      <c r="C146" s="85">
        <v>3</v>
      </c>
      <c r="D146" s="15">
        <f t="shared" ref="D146:H150" si="7">(D118-N118)/N118*100</f>
        <v>0.26290975295201419</v>
      </c>
      <c r="E146" s="15">
        <f t="shared" si="7"/>
        <v>0</v>
      </c>
      <c r="F146" s="67">
        <f t="shared" si="7"/>
        <v>0</v>
      </c>
      <c r="G146" s="15">
        <f t="shared" si="7"/>
        <v>0</v>
      </c>
      <c r="H146" s="15">
        <f t="shared" si="7"/>
        <v>0</v>
      </c>
    </row>
    <row r="147" spans="1:8" ht="18">
      <c r="A147" s="85"/>
      <c r="B147" s="85"/>
      <c r="C147" s="85"/>
      <c r="D147" s="15">
        <f t="shared" si="7"/>
        <v>0</v>
      </c>
      <c r="E147" s="15">
        <f t="shared" si="7"/>
        <v>0</v>
      </c>
      <c r="F147" s="67">
        <f t="shared" si="7"/>
        <v>0</v>
      </c>
      <c r="G147" s="15">
        <f t="shared" si="7"/>
        <v>0</v>
      </c>
      <c r="H147" s="15">
        <f t="shared" si="7"/>
        <v>0.12278182273593556</v>
      </c>
    </row>
    <row r="148" spans="1:8" ht="18">
      <c r="A148" s="85"/>
      <c r="B148" s="85"/>
      <c r="C148" s="85"/>
      <c r="D148" s="15">
        <f t="shared" si="7"/>
        <v>6.018310760158931</v>
      </c>
      <c r="E148" s="15">
        <f t="shared" si="7"/>
        <v>0.36879022344347656</v>
      </c>
      <c r="F148" s="67">
        <f t="shared" si="7"/>
        <v>0</v>
      </c>
      <c r="G148" s="15">
        <f t="shared" si="7"/>
        <v>0</v>
      </c>
      <c r="H148" s="15">
        <f t="shared" si="7"/>
        <v>0</v>
      </c>
    </row>
    <row r="149" spans="1:8" ht="18">
      <c r="A149" s="85"/>
      <c r="B149" s="85"/>
      <c r="C149" s="85"/>
      <c r="D149" s="15">
        <f t="shared" si="7"/>
        <v>4.3999009541794178</v>
      </c>
      <c r="E149" s="15">
        <f t="shared" si="7"/>
        <v>0</v>
      </c>
      <c r="F149" s="67">
        <f t="shared" si="7"/>
        <v>0</v>
      </c>
      <c r="G149" s="15">
        <f t="shared" si="7"/>
        <v>9.1598076334374501E-2</v>
      </c>
      <c r="H149" s="15">
        <f t="shared" si="7"/>
        <v>0.1784838029762551</v>
      </c>
    </row>
    <row r="150" spans="1:8" ht="18">
      <c r="A150" s="85"/>
      <c r="B150" s="85"/>
      <c r="C150" s="85"/>
      <c r="D150" s="15">
        <f t="shared" si="7"/>
        <v>0</v>
      </c>
      <c r="E150" s="15">
        <f t="shared" si="7"/>
        <v>0</v>
      </c>
      <c r="F150" s="67">
        <f t="shared" si="7"/>
        <v>0</v>
      </c>
      <c r="G150" s="15">
        <f t="shared" si="7"/>
        <v>0</v>
      </c>
      <c r="H150" s="15">
        <f t="shared" si="7"/>
        <v>0</v>
      </c>
    </row>
    <row r="151" spans="1:8" ht="18">
      <c r="A151" s="85"/>
      <c r="B151" s="85"/>
      <c r="C151" s="28" t="s">
        <v>18</v>
      </c>
      <c r="D151" s="29">
        <f>AVERAGE(D146:D150)</f>
        <v>2.1362242934580729</v>
      </c>
      <c r="E151" s="29">
        <f>AVERAGE(E146:E150)</f>
        <v>7.3758044688695318E-2</v>
      </c>
      <c r="F151" s="29">
        <f>AVERAGE(F146:F150)</f>
        <v>0</v>
      </c>
      <c r="G151" s="29">
        <f>AVERAGE(G146:G150)</f>
        <v>1.8319615266874902E-2</v>
      </c>
      <c r="H151" s="29">
        <f>AVERAGE(H146:H150)</f>
        <v>6.0253125142438135E-2</v>
      </c>
    </row>
    <row r="152" spans="1:8" ht="18">
      <c r="A152" s="85"/>
      <c r="B152" s="85"/>
      <c r="C152" s="85">
        <v>4</v>
      </c>
      <c r="D152" s="15">
        <f t="shared" ref="D152:H156" si="8">(D123-N123)/N123*100</f>
        <v>0</v>
      </c>
      <c r="E152" s="15">
        <f t="shared" si="8"/>
        <v>0</v>
      </c>
      <c r="F152" s="67">
        <f t="shared" si="8"/>
        <v>0</v>
      </c>
      <c r="G152" s="15">
        <f t="shared" si="8"/>
        <v>0</v>
      </c>
      <c r="H152" s="15">
        <f t="shared" si="8"/>
        <v>2.0531296981900034E-2</v>
      </c>
    </row>
    <row r="153" spans="1:8" ht="18">
      <c r="A153" s="85"/>
      <c r="B153" s="85"/>
      <c r="C153" s="85"/>
      <c r="D153" s="15">
        <f t="shared" si="8"/>
        <v>1.2409557272093497</v>
      </c>
      <c r="E153" s="15">
        <f t="shared" si="8"/>
        <v>0.15909049412997367</v>
      </c>
      <c r="F153" s="67">
        <f t="shared" si="8"/>
        <v>0</v>
      </c>
      <c r="G153" s="15">
        <f t="shared" si="8"/>
        <v>0.25785921983870347</v>
      </c>
      <c r="H153" s="15">
        <f t="shared" si="8"/>
        <v>0.74447602080340036</v>
      </c>
    </row>
    <row r="154" spans="1:8" ht="18">
      <c r="A154" s="85"/>
      <c r="B154" s="85"/>
      <c r="C154" s="85"/>
      <c r="D154" s="15">
        <f t="shared" si="8"/>
        <v>6.6691737580650088</v>
      </c>
      <c r="E154" s="15">
        <f t="shared" si="8"/>
        <v>4.5746821922912004E-3</v>
      </c>
      <c r="F154" s="67">
        <f t="shared" si="8"/>
        <v>0</v>
      </c>
      <c r="G154" s="15">
        <f t="shared" si="8"/>
        <v>0</v>
      </c>
      <c r="H154" s="15">
        <f t="shared" si="8"/>
        <v>0</v>
      </c>
    </row>
    <row r="155" spans="1:8" ht="18">
      <c r="A155" s="85"/>
      <c r="B155" s="85"/>
      <c r="C155" s="85"/>
      <c r="D155" s="15">
        <f t="shared" si="8"/>
        <v>2.5271383142584432</v>
      </c>
      <c r="E155" s="15">
        <f t="shared" si="8"/>
        <v>0</v>
      </c>
      <c r="F155" s="67">
        <f t="shared" si="8"/>
        <v>0</v>
      </c>
      <c r="G155" s="15">
        <f t="shared" si="8"/>
        <v>0</v>
      </c>
      <c r="H155" s="15">
        <f t="shared" si="8"/>
        <v>0</v>
      </c>
    </row>
    <row r="156" spans="1:8" ht="18">
      <c r="A156" s="85"/>
      <c r="B156" s="85"/>
      <c r="C156" s="85"/>
      <c r="D156" s="15">
        <f t="shared" si="8"/>
        <v>3.3318566778482315</v>
      </c>
      <c r="E156" s="15">
        <f t="shared" si="8"/>
        <v>0</v>
      </c>
      <c r="F156" s="67">
        <f t="shared" si="8"/>
        <v>0</v>
      </c>
      <c r="G156" s="15">
        <f t="shared" si="8"/>
        <v>0.9900865263955656</v>
      </c>
      <c r="H156" s="15">
        <f t="shared" si="8"/>
        <v>1.9868100115759881</v>
      </c>
    </row>
    <row r="157" spans="1:8" ht="18">
      <c r="A157" s="85"/>
      <c r="B157" s="85"/>
      <c r="C157" s="28" t="s">
        <v>18</v>
      </c>
      <c r="D157" s="29">
        <f>AVERAGE(D152:D156)</f>
        <v>2.7538248954762063</v>
      </c>
      <c r="E157" s="29">
        <f>AVERAGE(E152:E156)</f>
        <v>3.2733035264452974E-2</v>
      </c>
      <c r="F157" s="29">
        <f>AVERAGE(F152:F156)</f>
        <v>0</v>
      </c>
      <c r="G157" s="29">
        <f>AVERAGE(G152:G156)</f>
        <v>0.24958914924685383</v>
      </c>
      <c r="H157" s="29">
        <f>AVERAGE(H152:H156)</f>
        <v>0.55036346587225771</v>
      </c>
    </row>
    <row r="162" spans="1:8" ht="23" customHeight="1">
      <c r="A162" s="121" t="s">
        <v>92</v>
      </c>
      <c r="B162" s="121"/>
      <c r="C162" s="121"/>
      <c r="D162" s="121"/>
      <c r="E162" s="121"/>
      <c r="F162" s="121"/>
      <c r="G162" s="121"/>
      <c r="H162" s="121"/>
    </row>
    <row r="163" spans="1:8" ht="18">
      <c r="A163" s="13" t="s">
        <v>51</v>
      </c>
      <c r="B163" s="13" t="s">
        <v>7</v>
      </c>
      <c r="C163" s="13" t="s">
        <v>11</v>
      </c>
      <c r="D163" s="13" t="s">
        <v>46</v>
      </c>
      <c r="E163" s="13" t="s">
        <v>47</v>
      </c>
      <c r="F163" s="13" t="s">
        <v>50</v>
      </c>
      <c r="G163" s="13" t="s">
        <v>48</v>
      </c>
      <c r="H163" s="13" t="s">
        <v>49</v>
      </c>
    </row>
    <row r="164" spans="1:8" ht="18">
      <c r="A164" s="85">
        <v>54</v>
      </c>
      <c r="B164" s="85" t="s">
        <v>8</v>
      </c>
      <c r="C164" s="85">
        <v>3</v>
      </c>
      <c r="D164" s="15">
        <v>4.4228320982404732</v>
      </c>
      <c r="E164" s="15">
        <v>0.40956911286379249</v>
      </c>
      <c r="F164" s="67">
        <v>0</v>
      </c>
      <c r="G164" s="15">
        <v>0</v>
      </c>
      <c r="H164" s="15">
        <v>0</v>
      </c>
    </row>
    <row r="165" spans="1:8" ht="18">
      <c r="A165" s="85"/>
      <c r="B165" s="85"/>
      <c r="C165" s="85"/>
      <c r="D165" s="15">
        <v>6.2156473795224274</v>
      </c>
      <c r="E165" s="15">
        <v>0.36153266216201113</v>
      </c>
      <c r="F165" s="67">
        <v>0</v>
      </c>
      <c r="G165" s="15">
        <v>0</v>
      </c>
      <c r="H165" s="15">
        <v>0</v>
      </c>
    </row>
    <row r="166" spans="1:8" ht="18">
      <c r="A166" s="85"/>
      <c r="B166" s="85"/>
      <c r="C166" s="85"/>
      <c r="D166" s="15">
        <v>8.299074932763622</v>
      </c>
      <c r="E166" s="15">
        <v>0</v>
      </c>
      <c r="F166" s="67">
        <v>0</v>
      </c>
      <c r="G166" s="15">
        <v>0</v>
      </c>
      <c r="H166" s="15">
        <v>0</v>
      </c>
    </row>
    <row r="167" spans="1:8" ht="18">
      <c r="A167" s="85"/>
      <c r="B167" s="85"/>
      <c r="C167" s="85"/>
      <c r="D167" s="15">
        <v>1.2071118117071831</v>
      </c>
      <c r="E167" s="15">
        <v>0</v>
      </c>
      <c r="F167" s="67">
        <v>0</v>
      </c>
      <c r="G167" s="15">
        <v>0</v>
      </c>
      <c r="H167" s="15">
        <v>0</v>
      </c>
    </row>
    <row r="168" spans="1:8" ht="18">
      <c r="A168" s="85"/>
      <c r="B168" s="85"/>
      <c r="C168" s="85"/>
      <c r="D168" s="15">
        <v>4.1328348576281817</v>
      </c>
      <c r="E168" s="15">
        <v>0.74296885716242411</v>
      </c>
      <c r="F168" s="67">
        <v>0</v>
      </c>
      <c r="G168" s="15">
        <v>0</v>
      </c>
      <c r="H168" s="15">
        <v>0</v>
      </c>
    </row>
    <row r="169" spans="1:8" ht="18">
      <c r="A169" s="85"/>
      <c r="B169" s="85"/>
      <c r="C169" s="85">
        <v>4</v>
      </c>
      <c r="D169" s="15">
        <v>0</v>
      </c>
      <c r="E169" s="15">
        <v>0</v>
      </c>
      <c r="F169" s="67">
        <v>0</v>
      </c>
      <c r="G169" s="15">
        <v>7.4321896142941601E-2</v>
      </c>
      <c r="H169" s="15">
        <v>0.25187489761809767</v>
      </c>
    </row>
    <row r="170" spans="1:8" ht="18">
      <c r="A170" s="85"/>
      <c r="B170" s="85"/>
      <c r="C170" s="85"/>
      <c r="D170" s="15">
        <v>6.0351639873702716</v>
      </c>
      <c r="E170" s="15">
        <v>0.76375066757248833</v>
      </c>
      <c r="F170" s="67">
        <v>0</v>
      </c>
      <c r="G170" s="15">
        <v>0</v>
      </c>
      <c r="H170" s="15">
        <v>0</v>
      </c>
    </row>
    <row r="171" spans="1:8" ht="18">
      <c r="A171" s="85"/>
      <c r="B171" s="85"/>
      <c r="C171" s="85"/>
      <c r="D171" s="15">
        <v>0.91882408440568142</v>
      </c>
      <c r="E171" s="15">
        <v>1.4102961693903323E-2</v>
      </c>
      <c r="F171" s="67">
        <v>0</v>
      </c>
      <c r="G171" s="15">
        <v>0</v>
      </c>
      <c r="H171" s="15">
        <v>0</v>
      </c>
    </row>
    <row r="172" spans="1:8" ht="18">
      <c r="A172" s="85"/>
      <c r="B172" s="85"/>
      <c r="C172" s="85"/>
      <c r="D172" s="15">
        <v>0</v>
      </c>
      <c r="E172" s="15">
        <v>0</v>
      </c>
      <c r="F172" s="67">
        <v>0</v>
      </c>
      <c r="G172" s="15">
        <v>0</v>
      </c>
      <c r="H172" s="15">
        <v>0</v>
      </c>
    </row>
    <row r="173" spans="1:8" ht="18">
      <c r="A173" s="85"/>
      <c r="B173" s="85"/>
      <c r="C173" s="85"/>
      <c r="D173" s="15">
        <v>0</v>
      </c>
      <c r="E173" s="15">
        <v>0</v>
      </c>
      <c r="F173" s="67">
        <v>0</v>
      </c>
      <c r="G173" s="15">
        <v>0.38781823001781385</v>
      </c>
      <c r="H173" s="15">
        <v>0.60265253173029087</v>
      </c>
    </row>
    <row r="174" spans="1:8" ht="18">
      <c r="A174" s="85"/>
      <c r="B174" s="85" t="s">
        <v>9</v>
      </c>
      <c r="C174" s="85">
        <v>3</v>
      </c>
      <c r="D174" s="15">
        <v>0.26290975295201419</v>
      </c>
      <c r="E174" s="15">
        <v>0</v>
      </c>
      <c r="F174" s="67">
        <v>0</v>
      </c>
      <c r="G174" s="15">
        <v>0</v>
      </c>
      <c r="H174" s="15">
        <v>0</v>
      </c>
    </row>
    <row r="175" spans="1:8" ht="18">
      <c r="A175" s="85"/>
      <c r="B175" s="85"/>
      <c r="C175" s="85"/>
      <c r="D175" s="15">
        <v>0</v>
      </c>
      <c r="E175" s="15">
        <v>0</v>
      </c>
      <c r="F175" s="67">
        <v>0</v>
      </c>
      <c r="G175" s="15">
        <v>0</v>
      </c>
      <c r="H175" s="15">
        <v>0.12278182273593556</v>
      </c>
    </row>
    <row r="176" spans="1:8" ht="18">
      <c r="A176" s="85"/>
      <c r="B176" s="85"/>
      <c r="C176" s="85"/>
      <c r="D176" s="15">
        <v>6.018310760158931</v>
      </c>
      <c r="E176" s="15">
        <v>0.36879022344347656</v>
      </c>
      <c r="F176" s="67">
        <v>0</v>
      </c>
      <c r="G176" s="15">
        <v>0</v>
      </c>
      <c r="H176" s="15">
        <v>0</v>
      </c>
    </row>
    <row r="177" spans="1:8" ht="18">
      <c r="A177" s="85"/>
      <c r="B177" s="85"/>
      <c r="C177" s="85"/>
      <c r="D177" s="15">
        <v>4.3999009541794178</v>
      </c>
      <c r="E177" s="15">
        <v>0</v>
      </c>
      <c r="F177" s="67">
        <v>0</v>
      </c>
      <c r="G177" s="15">
        <v>9.1598076334374501E-2</v>
      </c>
      <c r="H177" s="15">
        <v>0.1784838029762551</v>
      </c>
    </row>
    <row r="178" spans="1:8" ht="18">
      <c r="A178" s="85"/>
      <c r="B178" s="85"/>
      <c r="C178" s="85"/>
      <c r="D178" s="15">
        <v>0</v>
      </c>
      <c r="E178" s="15">
        <v>0</v>
      </c>
      <c r="F178" s="67">
        <v>0</v>
      </c>
      <c r="G178" s="15">
        <v>0</v>
      </c>
      <c r="H178" s="15">
        <v>0</v>
      </c>
    </row>
    <row r="179" spans="1:8" ht="18">
      <c r="A179" s="85"/>
      <c r="B179" s="85"/>
      <c r="C179" s="85">
        <v>4</v>
      </c>
      <c r="D179" s="15">
        <v>0</v>
      </c>
      <c r="E179" s="15">
        <v>0</v>
      </c>
      <c r="F179" s="67">
        <v>0</v>
      </c>
      <c r="G179" s="15">
        <v>0</v>
      </c>
      <c r="H179" s="15">
        <v>2.0531296981900034E-2</v>
      </c>
    </row>
    <row r="180" spans="1:8" ht="18">
      <c r="A180" s="85"/>
      <c r="B180" s="85"/>
      <c r="C180" s="85"/>
      <c r="D180" s="15">
        <v>1.2409557272093497</v>
      </c>
      <c r="E180" s="15">
        <v>0.15909049412997367</v>
      </c>
      <c r="F180" s="67">
        <v>0</v>
      </c>
      <c r="G180" s="15">
        <v>0.25785921983870347</v>
      </c>
      <c r="H180" s="15">
        <v>0.74447602080340036</v>
      </c>
    </row>
    <row r="181" spans="1:8" ht="18">
      <c r="A181" s="85"/>
      <c r="B181" s="85"/>
      <c r="C181" s="85"/>
      <c r="D181" s="15">
        <v>6.6691737580650088</v>
      </c>
      <c r="E181" s="15">
        <v>4.5746821922912004E-3</v>
      </c>
      <c r="F181" s="67">
        <v>0</v>
      </c>
      <c r="G181" s="15">
        <v>0</v>
      </c>
      <c r="H181" s="15">
        <v>0</v>
      </c>
    </row>
    <row r="182" spans="1:8" ht="18">
      <c r="A182" s="85"/>
      <c r="B182" s="85"/>
      <c r="C182" s="85"/>
      <c r="D182" s="15">
        <v>2.5271383142584432</v>
      </c>
      <c r="E182" s="15">
        <v>0</v>
      </c>
      <c r="F182" s="67">
        <v>0</v>
      </c>
      <c r="G182" s="15">
        <v>0</v>
      </c>
      <c r="H182" s="15">
        <v>0</v>
      </c>
    </row>
    <row r="183" spans="1:8" ht="18">
      <c r="A183" s="85"/>
      <c r="B183" s="85"/>
      <c r="C183" s="85"/>
      <c r="D183" s="15">
        <v>3.3318566778482315</v>
      </c>
      <c r="E183" s="15">
        <v>0</v>
      </c>
      <c r="F183" s="67">
        <v>0</v>
      </c>
      <c r="G183" s="15">
        <v>0.9900865263955656</v>
      </c>
      <c r="H183" s="15">
        <v>1.9868100115759881</v>
      </c>
    </row>
    <row r="184" spans="1:8" ht="18">
      <c r="A184" s="28"/>
      <c r="B184" s="28"/>
      <c r="C184" s="28"/>
      <c r="D184" s="29">
        <f>AVERAGE(D164:D183)</f>
        <v>2.7840867548154615</v>
      </c>
      <c r="E184" s="29">
        <f>AVERAGE(E164:E183)</f>
        <v>0.14121898306101807</v>
      </c>
      <c r="F184" s="29">
        <f>AVERAGE(F164:F183)</f>
        <v>0</v>
      </c>
      <c r="G184" s="29">
        <f>AVERAGE(G164:G183)</f>
        <v>9.0084197436469948E-2</v>
      </c>
      <c r="H184" s="29">
        <f>AVERAGE(H164:H183)</f>
        <v>0.1953805192210934</v>
      </c>
    </row>
  </sheetData>
  <mergeCells count="91">
    <mergeCell ref="C93:C97"/>
    <mergeCell ref="K51:R51"/>
    <mergeCell ref="K53:K72"/>
    <mergeCell ref="L53:L62"/>
    <mergeCell ref="M53:M57"/>
    <mergeCell ref="M58:M62"/>
    <mergeCell ref="L63:L72"/>
    <mergeCell ref="M63:M67"/>
    <mergeCell ref="M68:M72"/>
    <mergeCell ref="A76:H76"/>
    <mergeCell ref="A78:A97"/>
    <mergeCell ref="B78:B87"/>
    <mergeCell ref="C78:C82"/>
    <mergeCell ref="C83:C87"/>
    <mergeCell ref="B88:B97"/>
    <mergeCell ref="C88:C92"/>
    <mergeCell ref="A132:H132"/>
    <mergeCell ref="C123:C127"/>
    <mergeCell ref="A108:A127"/>
    <mergeCell ref="B108:B117"/>
    <mergeCell ref="C108:C112"/>
    <mergeCell ref="C113:C117"/>
    <mergeCell ref="B118:B127"/>
    <mergeCell ref="C118:C122"/>
    <mergeCell ref="B39:B48"/>
    <mergeCell ref="C39:C43"/>
    <mergeCell ref="L39:L48"/>
    <mergeCell ref="M39:M43"/>
    <mergeCell ref="C68:C72"/>
    <mergeCell ref="B63:B72"/>
    <mergeCell ref="C63:C67"/>
    <mergeCell ref="C58:C62"/>
    <mergeCell ref="K29:K48"/>
    <mergeCell ref="L29:L38"/>
    <mergeCell ref="M29:M33"/>
    <mergeCell ref="C34:C38"/>
    <mergeCell ref="M34:M38"/>
    <mergeCell ref="A2:H2"/>
    <mergeCell ref="K2:R2"/>
    <mergeCell ref="A1:R1"/>
    <mergeCell ref="A105:R105"/>
    <mergeCell ref="C19:C23"/>
    <mergeCell ref="K4:K23"/>
    <mergeCell ref="L4:L13"/>
    <mergeCell ref="M4:M8"/>
    <mergeCell ref="C44:C48"/>
    <mergeCell ref="M44:M48"/>
    <mergeCell ref="A51:H51"/>
    <mergeCell ref="A53:A72"/>
    <mergeCell ref="B53:B62"/>
    <mergeCell ref="C53:C57"/>
    <mergeCell ref="M9:M13"/>
    <mergeCell ref="L14:L23"/>
    <mergeCell ref="M14:M18"/>
    <mergeCell ref="M19:M23"/>
    <mergeCell ref="A106:H106"/>
    <mergeCell ref="K106:R106"/>
    <mergeCell ref="B4:B13"/>
    <mergeCell ref="B14:B23"/>
    <mergeCell ref="A4:A23"/>
    <mergeCell ref="C4:C8"/>
    <mergeCell ref="C9:C13"/>
    <mergeCell ref="C14:C18"/>
    <mergeCell ref="A26:R26"/>
    <mergeCell ref="A27:H27"/>
    <mergeCell ref="K27:R27"/>
    <mergeCell ref="A29:A48"/>
    <mergeCell ref="B29:B38"/>
    <mergeCell ref="C29:C33"/>
    <mergeCell ref="K108:K127"/>
    <mergeCell ref="L108:L117"/>
    <mergeCell ref="M108:M112"/>
    <mergeCell ref="M113:M117"/>
    <mergeCell ref="L118:L127"/>
    <mergeCell ref="M118:M122"/>
    <mergeCell ref="M123:M127"/>
    <mergeCell ref="A162:H162"/>
    <mergeCell ref="A164:A183"/>
    <mergeCell ref="C134:C138"/>
    <mergeCell ref="C140:C144"/>
    <mergeCell ref="C146:C150"/>
    <mergeCell ref="C152:C156"/>
    <mergeCell ref="B134:B145"/>
    <mergeCell ref="B146:B157"/>
    <mergeCell ref="A134:A157"/>
    <mergeCell ref="B164:B173"/>
    <mergeCell ref="C164:C168"/>
    <mergeCell ref="C169:C173"/>
    <mergeCell ref="B174:B183"/>
    <mergeCell ref="C174:C178"/>
    <mergeCell ref="C179:C18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F666-54A6-504F-871C-1A8E78A37ED4}">
  <dimension ref="B1:Q27"/>
  <sheetViews>
    <sheetView zoomScale="96" workbookViewId="0">
      <selection activeCell="V27" sqref="V27"/>
    </sheetView>
  </sheetViews>
  <sheetFormatPr baseColWidth="10" defaultRowHeight="16"/>
  <cols>
    <col min="1" max="1" width="9.5" customWidth="1"/>
    <col min="2" max="2" width="9.83203125" customWidth="1"/>
    <col min="3" max="3" width="7.5" customWidth="1"/>
    <col min="5" max="5" width="12.5" customWidth="1"/>
    <col min="6" max="6" width="11.83203125" customWidth="1"/>
    <col min="7" max="7" width="11.6640625" customWidth="1"/>
    <col min="8" max="9" width="11.83203125" customWidth="1"/>
    <col min="10" max="10" width="12.1640625" customWidth="1"/>
    <col min="11" max="13" width="11.83203125" customWidth="1"/>
    <col min="14" max="15" width="12.5" customWidth="1"/>
    <col min="16" max="16" width="12" customWidth="1"/>
    <col min="17" max="17" width="12.33203125" customWidth="1"/>
  </cols>
  <sheetData>
    <row r="1" spans="2:17" ht="25" customHeight="1">
      <c r="B1" s="124" t="s">
        <v>29</v>
      </c>
      <c r="C1" s="125"/>
      <c r="D1" s="126"/>
      <c r="E1" s="82"/>
      <c r="F1" s="124" t="s">
        <v>77</v>
      </c>
      <c r="G1" s="125"/>
      <c r="H1" s="125"/>
      <c r="I1" s="126"/>
      <c r="J1" s="124" t="s">
        <v>78</v>
      </c>
      <c r="K1" s="125"/>
      <c r="L1" s="125"/>
      <c r="M1" s="126"/>
      <c r="N1" s="124" t="s">
        <v>79</v>
      </c>
      <c r="O1" s="125"/>
      <c r="P1" s="125"/>
      <c r="Q1" s="126"/>
    </row>
    <row r="2" spans="2:17" ht="24" customHeight="1">
      <c r="B2" s="13" t="s">
        <v>7</v>
      </c>
      <c r="C2" s="13" t="s">
        <v>11</v>
      </c>
      <c r="D2" s="13" t="s">
        <v>80</v>
      </c>
      <c r="E2" s="13" t="s">
        <v>81</v>
      </c>
      <c r="F2" s="13" t="s">
        <v>82</v>
      </c>
      <c r="G2" s="13" t="s">
        <v>83</v>
      </c>
      <c r="H2" s="13" t="s">
        <v>84</v>
      </c>
      <c r="I2" s="13" t="s">
        <v>85</v>
      </c>
      <c r="J2" s="13" t="s">
        <v>82</v>
      </c>
      <c r="K2" s="13" t="s">
        <v>83</v>
      </c>
      <c r="L2" s="13" t="s">
        <v>84</v>
      </c>
      <c r="M2" s="13" t="s">
        <v>85</v>
      </c>
      <c r="N2" s="13" t="s">
        <v>82</v>
      </c>
      <c r="O2" s="13" t="s">
        <v>83</v>
      </c>
      <c r="P2" s="13" t="s">
        <v>84</v>
      </c>
      <c r="Q2" s="13" t="s">
        <v>85</v>
      </c>
    </row>
    <row r="3" spans="2:17" ht="21" customHeight="1">
      <c r="B3" s="85" t="s">
        <v>8</v>
      </c>
      <c r="C3" s="85">
        <v>4</v>
      </c>
      <c r="D3" s="14">
        <v>1</v>
      </c>
      <c r="E3" s="15">
        <v>10237.34</v>
      </c>
      <c r="F3" s="15">
        <v>9863.0300000000007</v>
      </c>
      <c r="G3" s="15">
        <v>9541.69</v>
      </c>
      <c r="H3" s="15">
        <v>9274.32</v>
      </c>
      <c r="I3" s="15">
        <v>9048.25</v>
      </c>
      <c r="J3" s="15">
        <v>10691.59</v>
      </c>
      <c r="K3" s="15">
        <v>11270.84</v>
      </c>
      <c r="L3" s="15">
        <v>12041.24</v>
      </c>
      <c r="M3" s="15">
        <v>13136.32</v>
      </c>
      <c r="N3" s="15">
        <v>9932.91</v>
      </c>
      <c r="O3" s="15">
        <v>9673.31</v>
      </c>
      <c r="P3" s="15">
        <v>9464.0400000000009</v>
      </c>
      <c r="Q3" s="15">
        <v>9297.9599999999991</v>
      </c>
    </row>
    <row r="4" spans="2:17" ht="18">
      <c r="B4" s="85"/>
      <c r="C4" s="85"/>
      <c r="D4" s="14">
        <v>2</v>
      </c>
      <c r="E4" s="15">
        <v>14838.71</v>
      </c>
      <c r="F4" s="15">
        <v>14125.21</v>
      </c>
      <c r="G4" s="15">
        <v>13592.15</v>
      </c>
      <c r="H4" s="15">
        <v>13186.66</v>
      </c>
      <c r="I4" s="15">
        <v>12877.78</v>
      </c>
      <c r="J4" s="15">
        <v>15811.22</v>
      </c>
      <c r="K4" s="15">
        <v>17098.72</v>
      </c>
      <c r="L4" s="15">
        <v>19186.55</v>
      </c>
      <c r="M4" s="15">
        <v>23447.599999999999</v>
      </c>
      <c r="N4" s="15">
        <v>14518.53</v>
      </c>
      <c r="O4" s="15">
        <v>14293.5</v>
      </c>
      <c r="P4" s="15">
        <v>14133.48</v>
      </c>
      <c r="Q4" s="15">
        <v>14045.47</v>
      </c>
    </row>
    <row r="5" spans="2:17" ht="18">
      <c r="B5" s="85"/>
      <c r="C5" s="85"/>
      <c r="D5" s="14">
        <v>3</v>
      </c>
      <c r="E5" s="15">
        <v>20464.03</v>
      </c>
      <c r="F5" s="15">
        <v>19532.759999999998</v>
      </c>
      <c r="G5" s="15">
        <v>18745</v>
      </c>
      <c r="H5" s="15">
        <v>18054.66</v>
      </c>
      <c r="I5" s="15">
        <v>17529.3</v>
      </c>
      <c r="J5" s="15">
        <v>21737.45</v>
      </c>
      <c r="K5" s="15">
        <v>23553.65</v>
      </c>
      <c r="L5" s="15">
        <v>26527.65</v>
      </c>
      <c r="M5" s="15">
        <v>32015.69</v>
      </c>
      <c r="N5" s="15">
        <v>19925.46</v>
      </c>
      <c r="O5" s="15">
        <v>19509.02</v>
      </c>
      <c r="P5" s="15">
        <v>19187.46</v>
      </c>
      <c r="Q5" s="15">
        <v>19018.55</v>
      </c>
    </row>
    <row r="6" spans="2:17" ht="18">
      <c r="B6" s="85"/>
      <c r="C6" s="85"/>
      <c r="D6" s="14">
        <v>4</v>
      </c>
      <c r="E6" s="15">
        <v>17350.88</v>
      </c>
      <c r="F6" s="15">
        <v>16514.28</v>
      </c>
      <c r="G6" s="15">
        <v>15858.46</v>
      </c>
      <c r="H6" s="15">
        <v>15335.2</v>
      </c>
      <c r="I6" s="15">
        <v>14914.08</v>
      </c>
      <c r="J6" s="15">
        <v>18449.919999999998</v>
      </c>
      <c r="K6" s="15">
        <v>19964.990000000002</v>
      </c>
      <c r="L6" s="15">
        <v>22236.97</v>
      </c>
      <c r="M6" s="15">
        <v>26184.43</v>
      </c>
      <c r="N6" s="15">
        <v>16668.990000000002</v>
      </c>
      <c r="O6" s="15">
        <v>16186.64</v>
      </c>
      <c r="P6" s="15">
        <v>15862.5</v>
      </c>
      <c r="Q6" s="15">
        <v>15674.29</v>
      </c>
    </row>
    <row r="7" spans="2:17" ht="18">
      <c r="B7" s="85"/>
      <c r="C7" s="85"/>
      <c r="D7" s="14">
        <v>5</v>
      </c>
      <c r="E7" s="15">
        <v>17429.439999999999</v>
      </c>
      <c r="F7" s="15">
        <v>16680.34</v>
      </c>
      <c r="G7" s="15">
        <v>16023.4</v>
      </c>
      <c r="H7" s="15">
        <v>15492.54</v>
      </c>
      <c r="I7" s="15">
        <v>15070.91</v>
      </c>
      <c r="J7" s="15">
        <v>18363.37</v>
      </c>
      <c r="K7" s="15">
        <v>19771.080000000002</v>
      </c>
      <c r="L7" s="15">
        <v>22190.75</v>
      </c>
      <c r="M7" s="15">
        <v>27797.17</v>
      </c>
      <c r="N7" s="15">
        <v>17103.71</v>
      </c>
      <c r="O7" s="15">
        <v>16753.32</v>
      </c>
      <c r="P7" s="15">
        <v>16500.689999999999</v>
      </c>
      <c r="Q7" s="15">
        <v>16336.6</v>
      </c>
    </row>
    <row r="8" spans="2:17" ht="18">
      <c r="B8" s="85" t="s">
        <v>9</v>
      </c>
      <c r="C8" s="85">
        <v>4</v>
      </c>
      <c r="D8" s="14">
        <v>1</v>
      </c>
      <c r="E8" s="15">
        <v>13187.24</v>
      </c>
      <c r="F8" s="15">
        <v>12755.59</v>
      </c>
      <c r="G8" s="15">
        <v>12402.74</v>
      </c>
      <c r="H8" s="15">
        <v>12107.29</v>
      </c>
      <c r="I8" s="15">
        <v>11852.96</v>
      </c>
      <c r="J8" s="15">
        <v>13733.13</v>
      </c>
      <c r="K8" s="15">
        <v>14448.08</v>
      </c>
      <c r="L8" s="15">
        <v>15431.75</v>
      </c>
      <c r="M8" s="15">
        <v>16897.37</v>
      </c>
      <c r="N8" s="15">
        <v>12949.01</v>
      </c>
      <c r="O8" s="15">
        <v>12747.94</v>
      </c>
      <c r="P8" s="15">
        <v>12565.84</v>
      </c>
      <c r="Q8" s="15">
        <v>12429.06</v>
      </c>
    </row>
    <row r="9" spans="2:17" ht="18">
      <c r="B9" s="85"/>
      <c r="C9" s="85"/>
      <c r="D9" s="14">
        <v>2</v>
      </c>
      <c r="E9" s="15">
        <v>19578.7</v>
      </c>
      <c r="F9" s="15">
        <v>18741.419999999998</v>
      </c>
      <c r="G9" s="15">
        <v>18030.400000000001</v>
      </c>
      <c r="H9" s="15">
        <v>17391.310000000001</v>
      </c>
      <c r="I9" s="15">
        <v>16857.7</v>
      </c>
      <c r="J9" s="15">
        <v>20596.650000000001</v>
      </c>
      <c r="K9" s="15">
        <v>21907.37</v>
      </c>
      <c r="L9" s="15">
        <v>23754.19</v>
      </c>
      <c r="M9" s="15">
        <v>26628.26</v>
      </c>
      <c r="N9" s="15">
        <v>19041.810000000001</v>
      </c>
      <c r="O9" s="15">
        <v>18619.650000000001</v>
      </c>
      <c r="P9" s="15">
        <v>18287.3</v>
      </c>
      <c r="Q9" s="15">
        <v>18050.919999999998</v>
      </c>
    </row>
    <row r="10" spans="2:17" ht="18">
      <c r="B10" s="85"/>
      <c r="C10" s="85"/>
      <c r="D10" s="14">
        <v>3</v>
      </c>
      <c r="E10" s="15">
        <v>28538.06</v>
      </c>
      <c r="F10" s="15">
        <v>26996.76</v>
      </c>
      <c r="G10" s="15">
        <v>25828.93</v>
      </c>
      <c r="H10" s="15">
        <v>24924.01</v>
      </c>
      <c r="I10" s="15">
        <v>24216.77</v>
      </c>
      <c r="J10" s="15">
        <v>30576.22</v>
      </c>
      <c r="K10" s="15">
        <v>33074.629999999997</v>
      </c>
      <c r="L10" s="15">
        <v>37200.6</v>
      </c>
      <c r="M10" s="15">
        <v>44947.68</v>
      </c>
      <c r="N10" s="15">
        <v>27684.959999999999</v>
      </c>
      <c r="O10" s="15">
        <v>27104.52</v>
      </c>
      <c r="P10" s="15">
        <v>26759.24</v>
      </c>
      <c r="Q10" s="15">
        <v>26530.3</v>
      </c>
    </row>
    <row r="11" spans="2:17" ht="18">
      <c r="B11" s="85"/>
      <c r="C11" s="85"/>
      <c r="D11" s="14">
        <v>4</v>
      </c>
      <c r="E11" s="15">
        <v>14947.64</v>
      </c>
      <c r="F11" s="15">
        <v>14503.54</v>
      </c>
      <c r="G11" s="15">
        <v>14165.16</v>
      </c>
      <c r="H11" s="15">
        <v>13908.87</v>
      </c>
      <c r="I11" s="15">
        <v>13719.58</v>
      </c>
      <c r="J11" s="15">
        <v>15535.23</v>
      </c>
      <c r="K11" s="15">
        <v>16200.84</v>
      </c>
      <c r="L11" s="15">
        <v>17016.29</v>
      </c>
      <c r="M11" s="15">
        <v>17989.599999999999</v>
      </c>
      <c r="N11" s="15">
        <v>14693.23</v>
      </c>
      <c r="O11" s="15">
        <v>14521.23</v>
      </c>
      <c r="P11" s="15">
        <v>14425.78</v>
      </c>
      <c r="Q11" s="15">
        <v>14362.29</v>
      </c>
    </row>
    <row r="12" spans="2:17" ht="18">
      <c r="B12" s="85"/>
      <c r="C12" s="85"/>
      <c r="D12" s="14">
        <v>5</v>
      </c>
      <c r="E12" s="15">
        <v>17866.099999999999</v>
      </c>
      <c r="F12" s="15">
        <v>16947.22</v>
      </c>
      <c r="G12" s="15">
        <v>16219.69</v>
      </c>
      <c r="H12" s="15">
        <v>15625.19</v>
      </c>
      <c r="I12" s="15">
        <v>15132.97</v>
      </c>
      <c r="J12" s="15">
        <v>18949.63</v>
      </c>
      <c r="K12" s="15">
        <v>20208.07</v>
      </c>
      <c r="L12" s="15">
        <v>21981.1</v>
      </c>
      <c r="M12" s="15">
        <v>25061.16</v>
      </c>
      <c r="N12" s="15">
        <v>17414.12</v>
      </c>
      <c r="O12" s="15">
        <v>17063.96</v>
      </c>
      <c r="P12" s="15">
        <v>16783.95</v>
      </c>
      <c r="Q12" s="15">
        <v>16556.71</v>
      </c>
    </row>
    <row r="16" spans="2:17" ht="18">
      <c r="B16" s="124" t="s">
        <v>29</v>
      </c>
      <c r="C16" s="125"/>
      <c r="D16" s="126"/>
      <c r="E16" s="124" t="s">
        <v>77</v>
      </c>
      <c r="F16" s="125"/>
      <c r="G16" s="125"/>
      <c r="H16" s="126"/>
      <c r="I16" s="124" t="s">
        <v>78</v>
      </c>
      <c r="J16" s="125"/>
      <c r="K16" s="125"/>
      <c r="L16" s="126"/>
      <c r="M16" s="124" t="s">
        <v>79</v>
      </c>
      <c r="N16" s="125"/>
      <c r="O16" s="125"/>
      <c r="P16" s="126"/>
    </row>
    <row r="17" spans="2:16" ht="18">
      <c r="B17" s="13" t="s">
        <v>7</v>
      </c>
      <c r="C17" s="13" t="s">
        <v>11</v>
      </c>
      <c r="D17" s="13" t="s">
        <v>80</v>
      </c>
      <c r="E17" s="13" t="s">
        <v>82</v>
      </c>
      <c r="F17" s="13" t="s">
        <v>83</v>
      </c>
      <c r="G17" s="13" t="s">
        <v>84</v>
      </c>
      <c r="H17" s="13" t="s">
        <v>85</v>
      </c>
      <c r="I17" s="13" t="s">
        <v>82</v>
      </c>
      <c r="J17" s="13" t="s">
        <v>83</v>
      </c>
      <c r="K17" s="13" t="s">
        <v>84</v>
      </c>
      <c r="L17" s="13" t="s">
        <v>85</v>
      </c>
      <c r="M17" s="13" t="s">
        <v>82</v>
      </c>
      <c r="N17" s="13" t="s">
        <v>83</v>
      </c>
      <c r="O17" s="13" t="s">
        <v>84</v>
      </c>
      <c r="P17" s="13" t="s">
        <v>85</v>
      </c>
    </row>
    <row r="18" spans="2:16" ht="18">
      <c r="B18" s="85" t="s">
        <v>8</v>
      </c>
      <c r="C18" s="85">
        <v>4</v>
      </c>
      <c r="D18" s="14">
        <v>1</v>
      </c>
      <c r="E18" s="83">
        <f>(F3/$E3-1)*100</f>
        <v>-3.6563208802286473</v>
      </c>
      <c r="F18" s="83">
        <f t="shared" ref="F18:P18" si="0">(G3/$E3-1)*100</f>
        <v>-6.7952221963908599</v>
      </c>
      <c r="G18" s="83">
        <f t="shared" si="0"/>
        <v>-9.4069357860538041</v>
      </c>
      <c r="H18" s="83">
        <f t="shared" si="0"/>
        <v>-11.615224267241297</v>
      </c>
      <c r="I18" s="83">
        <f t="shared" si="0"/>
        <v>4.4371877851082431</v>
      </c>
      <c r="J18" s="83">
        <f t="shared" si="0"/>
        <v>10.095395874318914</v>
      </c>
      <c r="K18" s="83">
        <f t="shared" si="0"/>
        <v>17.620788212563031</v>
      </c>
      <c r="L18" s="83">
        <f t="shared" si="0"/>
        <v>28.31770752949496</v>
      </c>
      <c r="M18" s="83">
        <f t="shared" si="0"/>
        <v>-2.9737216894232366</v>
      </c>
      <c r="N18" s="83">
        <f t="shared" si="0"/>
        <v>-5.5095366569831716</v>
      </c>
      <c r="O18" s="83">
        <f t="shared" si="0"/>
        <v>-7.5537200092992807</v>
      </c>
      <c r="P18" s="83">
        <f t="shared" si="0"/>
        <v>-9.1760164261419526</v>
      </c>
    </row>
    <row r="19" spans="2:16" ht="18">
      <c r="B19" s="85"/>
      <c r="C19" s="85"/>
      <c r="D19" s="14">
        <v>2</v>
      </c>
      <c r="E19" s="83">
        <f t="shared" ref="E19:P19" si="1">(F4/$E4-1)*100</f>
        <v>-4.8083694606876222</v>
      </c>
      <c r="F19" s="83">
        <f t="shared" si="1"/>
        <v>-8.4007302521580396</v>
      </c>
      <c r="G19" s="83">
        <f t="shared" si="1"/>
        <v>-11.133380192752595</v>
      </c>
      <c r="H19" s="83">
        <f t="shared" si="1"/>
        <v>-13.214962756196458</v>
      </c>
      <c r="I19" s="83">
        <f t="shared" si="1"/>
        <v>6.5538715966549699</v>
      </c>
      <c r="J19" s="83">
        <f t="shared" si="1"/>
        <v>15.230501842815203</v>
      </c>
      <c r="K19" s="83">
        <f t="shared" si="1"/>
        <v>29.300660232594346</v>
      </c>
      <c r="L19" s="83">
        <f t="shared" si="1"/>
        <v>58.016431347468881</v>
      </c>
      <c r="M19" s="83">
        <f t="shared" si="1"/>
        <v>-2.1577347357014109</v>
      </c>
      <c r="N19" s="83">
        <f t="shared" si="1"/>
        <v>-3.6742412244730072</v>
      </c>
      <c r="O19" s="83">
        <f t="shared" si="1"/>
        <v>-4.7526368532035406</v>
      </c>
      <c r="P19" s="83">
        <f t="shared" si="1"/>
        <v>-5.3457477098750488</v>
      </c>
    </row>
    <row r="20" spans="2:16" ht="18">
      <c r="B20" s="85"/>
      <c r="C20" s="85"/>
      <c r="D20" s="14">
        <v>3</v>
      </c>
      <c r="E20" s="83">
        <f t="shared" ref="E20:P20" si="2">(F5/$E5-1)*100</f>
        <v>-4.5507654161961231</v>
      </c>
      <c r="F20" s="83">
        <f t="shared" si="2"/>
        <v>-8.4002515633528674</v>
      </c>
      <c r="G20" s="83">
        <f t="shared" si="2"/>
        <v>-11.773682896281912</v>
      </c>
      <c r="H20" s="83">
        <f t="shared" si="2"/>
        <v>-14.340919164016075</v>
      </c>
      <c r="I20" s="83">
        <f t="shared" si="2"/>
        <v>6.2227234811520704</v>
      </c>
      <c r="J20" s="83">
        <f t="shared" si="2"/>
        <v>15.097808202978612</v>
      </c>
      <c r="K20" s="83">
        <f t="shared" si="2"/>
        <v>29.630625052836624</v>
      </c>
      <c r="L20" s="83">
        <f t="shared" si="2"/>
        <v>56.44860763007091</v>
      </c>
      <c r="M20" s="83">
        <f t="shared" si="2"/>
        <v>-2.6317885577767375</v>
      </c>
      <c r="N20" s="83">
        <f t="shared" si="2"/>
        <v>-4.666773846598149</v>
      </c>
      <c r="O20" s="83">
        <f t="shared" si="2"/>
        <v>-6.2381163436527443</v>
      </c>
      <c r="P20" s="83">
        <f t="shared" si="2"/>
        <v>-7.0635158373008604</v>
      </c>
    </row>
    <row r="21" spans="2:16" ht="18">
      <c r="B21" s="85"/>
      <c r="C21" s="85"/>
      <c r="D21" s="14">
        <v>4</v>
      </c>
      <c r="E21" s="83">
        <f t="shared" ref="E21:P21" si="3">(F6/$E6-1)*100</f>
        <v>-4.8216574606014362</v>
      </c>
      <c r="F21" s="83">
        <f t="shared" si="3"/>
        <v>-8.6014081130179054</v>
      </c>
      <c r="G21" s="83">
        <f t="shared" si="3"/>
        <v>-11.617162933522685</v>
      </c>
      <c r="H21" s="83">
        <f t="shared" si="3"/>
        <v>-14.044244441780485</v>
      </c>
      <c r="I21" s="83">
        <f t="shared" si="3"/>
        <v>6.3342032219691369</v>
      </c>
      <c r="J21" s="83">
        <f t="shared" si="3"/>
        <v>15.066152264323197</v>
      </c>
      <c r="K21" s="83">
        <f t="shared" si="3"/>
        <v>28.160473705080079</v>
      </c>
      <c r="L21" s="83">
        <f t="shared" si="3"/>
        <v>50.911250610920014</v>
      </c>
      <c r="M21" s="83">
        <f t="shared" si="3"/>
        <v>-3.9300023975729181</v>
      </c>
      <c r="N21" s="83">
        <f t="shared" si="3"/>
        <v>-6.7099766697712226</v>
      </c>
      <c r="O21" s="83">
        <f t="shared" si="3"/>
        <v>-8.5781239914056293</v>
      </c>
      <c r="P21" s="83">
        <f t="shared" si="3"/>
        <v>-9.6628528351299749</v>
      </c>
    </row>
    <row r="22" spans="2:16" ht="18">
      <c r="B22" s="85"/>
      <c r="C22" s="85"/>
      <c r="D22" s="14">
        <v>5</v>
      </c>
      <c r="E22" s="83">
        <f t="shared" ref="E22:P22" si="4">(F7/$E7-1)*100</f>
        <v>-4.2979005636440304</v>
      </c>
      <c r="F22" s="83">
        <f t="shared" si="4"/>
        <v>-8.067040593386821</v>
      </c>
      <c r="G22" s="83">
        <f t="shared" si="4"/>
        <v>-11.112806837167444</v>
      </c>
      <c r="H22" s="83">
        <f t="shared" si="4"/>
        <v>-13.531874804927746</v>
      </c>
      <c r="I22" s="83">
        <f t="shared" si="4"/>
        <v>5.3583477151302628</v>
      </c>
      <c r="J22" s="83">
        <f t="shared" si="4"/>
        <v>13.43496979822647</v>
      </c>
      <c r="K22" s="83">
        <f t="shared" si="4"/>
        <v>27.317630400058768</v>
      </c>
      <c r="L22" s="83">
        <f t="shared" si="4"/>
        <v>59.484010960765232</v>
      </c>
      <c r="M22" s="83">
        <f t="shared" si="4"/>
        <v>-1.8688494868452477</v>
      </c>
      <c r="N22" s="83">
        <f t="shared" si="4"/>
        <v>-3.8791837259257833</v>
      </c>
      <c r="O22" s="83">
        <f t="shared" si="4"/>
        <v>-5.3286278847742619</v>
      </c>
      <c r="P22" s="83">
        <f t="shared" si="4"/>
        <v>-6.2700809664567476</v>
      </c>
    </row>
    <row r="23" spans="2:16" ht="18">
      <c r="B23" s="85" t="s">
        <v>9</v>
      </c>
      <c r="C23" s="85">
        <v>4</v>
      </c>
      <c r="D23" s="14">
        <v>1</v>
      </c>
      <c r="E23" s="83">
        <f t="shared" ref="E23:P23" si="5">(F8/$E8-1)*100</f>
        <v>-3.2732398894689041</v>
      </c>
      <c r="F23" s="83">
        <f t="shared" si="5"/>
        <v>-5.9489324528862797</v>
      </c>
      <c r="G23" s="83">
        <f t="shared" si="5"/>
        <v>-8.1893557711848697</v>
      </c>
      <c r="H23" s="83">
        <f t="shared" si="5"/>
        <v>-10.117962515279933</v>
      </c>
      <c r="I23" s="83">
        <f t="shared" si="5"/>
        <v>4.139531850485767</v>
      </c>
      <c r="J23" s="83">
        <f t="shared" si="5"/>
        <v>9.5610605403405167</v>
      </c>
      <c r="K23" s="83">
        <f t="shared" si="5"/>
        <v>17.020316609085761</v>
      </c>
      <c r="L23" s="83">
        <f t="shared" si="5"/>
        <v>28.13424188837088</v>
      </c>
      <c r="M23" s="83">
        <f t="shared" si="5"/>
        <v>-1.8065190290007527</v>
      </c>
      <c r="N23" s="83">
        <f t="shared" si="5"/>
        <v>-3.3312505118584301</v>
      </c>
      <c r="O23" s="83">
        <f t="shared" si="5"/>
        <v>-4.7121308173658782</v>
      </c>
      <c r="P23" s="83">
        <f t="shared" si="5"/>
        <v>-5.7493455795147419</v>
      </c>
    </row>
    <row r="24" spans="2:16" ht="18">
      <c r="B24" s="85"/>
      <c r="C24" s="85"/>
      <c r="D24" s="14">
        <v>2</v>
      </c>
      <c r="E24" s="83">
        <f t="shared" ref="E24:P24" si="6">(F9/$E9-1)*100</f>
        <v>-4.2764841383748813</v>
      </c>
      <c r="F24" s="83">
        <f t="shared" si="6"/>
        <v>-7.9080837849295316</v>
      </c>
      <c r="G24" s="83">
        <f t="shared" si="6"/>
        <v>-11.172294381138681</v>
      </c>
      <c r="H24" s="83">
        <f t="shared" si="6"/>
        <v>-13.897756235092217</v>
      </c>
      <c r="I24" s="83">
        <f t="shared" si="6"/>
        <v>5.1992726789827692</v>
      </c>
      <c r="J24" s="83">
        <f t="shared" si="6"/>
        <v>11.893894895983891</v>
      </c>
      <c r="K24" s="83">
        <f t="shared" si="6"/>
        <v>21.326696869557217</v>
      </c>
      <c r="L24" s="83">
        <f t="shared" si="6"/>
        <v>36.00627212225529</v>
      </c>
      <c r="M24" s="83">
        <f t="shared" si="6"/>
        <v>-2.7422147537885522</v>
      </c>
      <c r="N24" s="83">
        <f t="shared" si="6"/>
        <v>-4.8984355447501571</v>
      </c>
      <c r="O24" s="83">
        <f t="shared" si="6"/>
        <v>-6.5959435508997082</v>
      </c>
      <c r="P24" s="83">
        <f t="shared" si="6"/>
        <v>-7.8032760091323876</v>
      </c>
    </row>
    <row r="25" spans="2:16" ht="18">
      <c r="B25" s="85"/>
      <c r="C25" s="85"/>
      <c r="D25" s="14">
        <v>3</v>
      </c>
      <c r="E25" s="83">
        <f t="shared" ref="E25:P25" si="7">(F10/$E10-1)*100</f>
        <v>-5.4008576616630606</v>
      </c>
      <c r="F25" s="83">
        <f t="shared" si="7"/>
        <v>-9.4930419236626484</v>
      </c>
      <c r="G25" s="83">
        <f t="shared" si="7"/>
        <v>-12.663965245009656</v>
      </c>
      <c r="H25" s="83">
        <f t="shared" si="7"/>
        <v>-15.142199574883508</v>
      </c>
      <c r="I25" s="83">
        <f t="shared" si="7"/>
        <v>7.1419010262085081</v>
      </c>
      <c r="J25" s="83">
        <f t="shared" si="7"/>
        <v>15.896560593116682</v>
      </c>
      <c r="K25" s="83">
        <f t="shared" si="7"/>
        <v>30.354340834660796</v>
      </c>
      <c r="L25" s="83">
        <f t="shared" si="7"/>
        <v>57.500825213767158</v>
      </c>
      <c r="M25" s="83">
        <f t="shared" si="7"/>
        <v>-2.9893412516478035</v>
      </c>
      <c r="N25" s="83">
        <f t="shared" si="7"/>
        <v>-5.0232566614549112</v>
      </c>
      <c r="O25" s="83">
        <f t="shared" si="7"/>
        <v>-6.2331496955294057</v>
      </c>
      <c r="P25" s="83">
        <f t="shared" si="7"/>
        <v>-7.0353766163502414</v>
      </c>
    </row>
    <row r="26" spans="2:16" ht="18">
      <c r="B26" s="85"/>
      <c r="C26" s="85"/>
      <c r="D26" s="14">
        <v>4</v>
      </c>
      <c r="E26" s="83">
        <f t="shared" ref="E26:P26" si="8">(F11/$E11-1)*100</f>
        <v>-2.9710375684723345</v>
      </c>
      <c r="F26" s="83">
        <f t="shared" si="8"/>
        <v>-5.2348062971813603</v>
      </c>
      <c r="G26" s="83">
        <f t="shared" si="8"/>
        <v>-6.9493913420446196</v>
      </c>
      <c r="H26" s="83">
        <f t="shared" si="8"/>
        <v>-8.2157450942088488</v>
      </c>
      <c r="I26" s="83">
        <f t="shared" si="8"/>
        <v>3.9309884369706616</v>
      </c>
      <c r="J26" s="83">
        <f t="shared" si="8"/>
        <v>8.3839321792604125</v>
      </c>
      <c r="K26" s="83">
        <f t="shared" si="8"/>
        <v>13.839308412565465</v>
      </c>
      <c r="L26" s="83">
        <f t="shared" si="8"/>
        <v>20.35077109162382</v>
      </c>
      <c r="M26" s="83">
        <f t="shared" si="8"/>
        <v>-1.7020078085905221</v>
      </c>
      <c r="N26" s="83">
        <f t="shared" si="8"/>
        <v>-2.852691127161211</v>
      </c>
      <c r="O26" s="83">
        <f t="shared" si="8"/>
        <v>-3.4912534687749908</v>
      </c>
      <c r="P26" s="83">
        <f t="shared" si="8"/>
        <v>-3.9160027937520492</v>
      </c>
    </row>
    <row r="27" spans="2:16" ht="18">
      <c r="B27" s="85"/>
      <c r="C27" s="85"/>
      <c r="D27" s="14">
        <v>5</v>
      </c>
      <c r="E27" s="83">
        <f t="shared" ref="E27:P27" si="9">(F12/$E12-1)*100</f>
        <v>-5.1431481968644333</v>
      </c>
      <c r="F27" s="83">
        <f t="shared" si="9"/>
        <v>-9.2152736187528284</v>
      </c>
      <c r="G27" s="83">
        <f t="shared" si="9"/>
        <v>-12.542804529248119</v>
      </c>
      <c r="H27" s="83">
        <f t="shared" si="9"/>
        <v>-15.297854596134574</v>
      </c>
      <c r="I27" s="83">
        <f t="shared" si="9"/>
        <v>6.0647259334717818</v>
      </c>
      <c r="J27" s="83">
        <f t="shared" si="9"/>
        <v>13.10845679807009</v>
      </c>
      <c r="K27" s="83">
        <f t="shared" si="9"/>
        <v>23.032446924622608</v>
      </c>
      <c r="L27" s="83">
        <f t="shared" si="9"/>
        <v>40.272135496834792</v>
      </c>
      <c r="M27" s="83">
        <f t="shared" si="9"/>
        <v>-2.5298190427681444</v>
      </c>
      <c r="N27" s="83">
        <f t="shared" si="9"/>
        <v>-4.4897319504536455</v>
      </c>
      <c r="O27" s="83">
        <f t="shared" si="9"/>
        <v>-6.0570018078931476</v>
      </c>
      <c r="P27" s="83">
        <f t="shared" si="9"/>
        <v>-7.3289078198375712</v>
      </c>
    </row>
  </sheetData>
  <mergeCells count="16">
    <mergeCell ref="B1:D1"/>
    <mergeCell ref="N1:Q1"/>
    <mergeCell ref="J1:M1"/>
    <mergeCell ref="F1:I1"/>
    <mergeCell ref="M16:P16"/>
    <mergeCell ref="B18:B22"/>
    <mergeCell ref="C18:C22"/>
    <mergeCell ref="B3:B7"/>
    <mergeCell ref="C3:C7"/>
    <mergeCell ref="B8:B12"/>
    <mergeCell ref="C8:C12"/>
    <mergeCell ref="B23:B27"/>
    <mergeCell ref="C23:C27"/>
    <mergeCell ref="B16:D16"/>
    <mergeCell ref="E16:H16"/>
    <mergeCell ref="I16:L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LBBD with Different Cut Types</vt:lpstr>
      <vt:lpstr>CF1 and LBBD</vt:lpstr>
      <vt:lpstr>Spatial_dispersion_coefficient</vt:lpstr>
      <vt:lpstr>LBBD-TimeDecom-DP_States</vt:lpstr>
      <vt:lpstr>Obj-Compare</vt:lpstr>
      <vt:lpstr>Sensitivity Analysis</vt:lpstr>
      <vt:lpstr>Robustness_Test</vt:lpstr>
      <vt:lpstr>HeteSuppRate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zzl8576@126.com</dc:creator>
  <cp:lastModifiedBy>Zilong Zhao</cp:lastModifiedBy>
  <dcterms:created xsi:type="dcterms:W3CDTF">2025-11-27T16:37:26Z</dcterms:created>
  <dcterms:modified xsi:type="dcterms:W3CDTF">2026-09-14T17:15:02Z</dcterms:modified>
</cp:coreProperties>
</file>